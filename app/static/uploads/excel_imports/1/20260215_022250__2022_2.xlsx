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Ibrohim\Downloads\"/>
    </mc:Choice>
  </mc:AlternateContent>
  <xr:revisionPtr revIDLastSave="0" documentId="13_ncr:1_{466E014B-69BE-4D7A-9409-9917C6D3E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ктябр 2024" sheetId="32" r:id="rId1"/>
    <sheet name="ост.охири" sheetId="13" r:id="rId2"/>
    <sheet name="Сентябр 2024" sheetId="31" r:id="rId3"/>
    <sheet name="Июл 2024" sheetId="30" r:id="rId4"/>
    <sheet name="Май 2024" sheetId="29" r:id="rId5"/>
    <sheet name="Январ 2024" sheetId="26" r:id="rId6"/>
    <sheet name="Баланс 2024" sheetId="28" r:id="rId7"/>
    <sheet name="2023 сентябр" sheetId="24" r:id="rId8"/>
    <sheet name="2023 август" sheetId="23" r:id="rId9"/>
    <sheet name="2023 июл" sheetId="22" r:id="rId10"/>
    <sheet name="Лист1" sheetId="25" r:id="rId11"/>
    <sheet name="2023.3" sheetId="21" r:id="rId12"/>
    <sheet name="2023.2" sheetId="20" r:id="rId13"/>
    <sheet name="2023.1" sheetId="19" r:id="rId14"/>
    <sheet name="2022 Хособот 5" sheetId="17" r:id="rId15"/>
    <sheet name="2022 Хисобот 4" sheetId="16" r:id="rId16"/>
    <sheet name="Хисобот. 07" sheetId="18" r:id="rId17"/>
    <sheet name="2021 Хисобот 3" sheetId="14" r:id="rId18"/>
    <sheet name="Баланс 2022" sheetId="15" r:id="rId19"/>
    <sheet name="2021 Хисобот 2" sheetId="9" r:id="rId20"/>
    <sheet name="2021 хисобот 1" sheetId="3" r:id="rId21"/>
    <sheet name="ост. охирги архив" sheetId="11" r:id="rId22"/>
    <sheet name="кунлик ост." sheetId="12" r:id="rId23"/>
    <sheet name="ост.янги архив" sheetId="7" r:id="rId24"/>
    <sheet name="Возврат лайкра" sheetId="8" r:id="rId25"/>
    <sheet name="Реализация 2" sheetId="6" r:id="rId26"/>
    <sheet name="Реализация" sheetId="1" r:id="rId2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2" l="1"/>
  <c r="B22" i="13"/>
  <c r="G4" i="32"/>
  <c r="G3" i="32"/>
  <c r="E3" i="32"/>
  <c r="G199" i="32"/>
  <c r="E4" i="32"/>
  <c r="E5" i="32"/>
  <c r="E6" i="32"/>
  <c r="E7" i="32"/>
  <c r="E8" i="32"/>
  <c r="E9" i="32"/>
  <c r="E10" i="32"/>
  <c r="E11" i="32"/>
  <c r="E12" i="32"/>
  <c r="E13" i="32"/>
  <c r="E14" i="32"/>
  <c r="E15" i="32"/>
  <c r="E16" i="32"/>
  <c r="E17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E43" i="32"/>
  <c r="E44" i="32"/>
  <c r="E45" i="32"/>
  <c r="E46" i="32"/>
  <c r="E47" i="32"/>
  <c r="E48" i="32"/>
  <c r="E49" i="32"/>
  <c r="E50" i="32"/>
  <c r="E51" i="32"/>
  <c r="E52" i="32"/>
  <c r="E53" i="32"/>
  <c r="E54" i="32"/>
  <c r="E55" i="32"/>
  <c r="E56" i="32"/>
  <c r="E57" i="32"/>
  <c r="E58" i="32"/>
  <c r="E59" i="32"/>
  <c r="E60" i="32"/>
  <c r="E61" i="32"/>
  <c r="E62" i="32"/>
  <c r="E63" i="32"/>
  <c r="E64" i="32"/>
  <c r="E65" i="32"/>
  <c r="E66" i="32"/>
  <c r="E67" i="32"/>
  <c r="E68" i="32"/>
  <c r="E69" i="32"/>
  <c r="E70" i="32"/>
  <c r="E71" i="32"/>
  <c r="E72" i="32"/>
  <c r="E73" i="32"/>
  <c r="E74" i="32"/>
  <c r="E75" i="32"/>
  <c r="E76" i="32"/>
  <c r="E77" i="32"/>
  <c r="E78" i="32"/>
  <c r="E79" i="32"/>
  <c r="E80" i="32"/>
  <c r="E81" i="32"/>
  <c r="E82" i="32"/>
  <c r="E83" i="32"/>
  <c r="E84" i="32"/>
  <c r="E85" i="32"/>
  <c r="E86" i="32"/>
  <c r="E87" i="32"/>
  <c r="E88" i="32"/>
  <c r="E89" i="32"/>
  <c r="E90" i="32"/>
  <c r="E91" i="32"/>
  <c r="E92" i="32"/>
  <c r="E93" i="32"/>
  <c r="E94" i="32"/>
  <c r="E95" i="32"/>
  <c r="E96" i="32"/>
  <c r="E97" i="32"/>
  <c r="E98" i="32"/>
  <c r="E99" i="32"/>
  <c r="E100" i="32"/>
  <c r="E101" i="32"/>
  <c r="E102" i="32"/>
  <c r="E103" i="32"/>
  <c r="E104" i="32"/>
  <c r="E105" i="32"/>
  <c r="E106" i="32"/>
  <c r="E107" i="32"/>
  <c r="E108" i="32"/>
  <c r="E109" i="32"/>
  <c r="E110" i="32"/>
  <c r="E111" i="32"/>
  <c r="E112" i="32"/>
  <c r="E113" i="32"/>
  <c r="E114" i="32"/>
  <c r="E115" i="32"/>
  <c r="E116" i="32"/>
  <c r="E117" i="32"/>
  <c r="E118" i="32"/>
  <c r="E119" i="32"/>
  <c r="E120" i="32"/>
  <c r="E121" i="32"/>
  <c r="E122" i="32"/>
  <c r="E123" i="32"/>
  <c r="E124" i="32"/>
  <c r="E125" i="32"/>
  <c r="E126" i="32"/>
  <c r="E127" i="32"/>
  <c r="E128" i="32"/>
  <c r="E129" i="32"/>
  <c r="E130" i="32"/>
  <c r="E131" i="32"/>
  <c r="E132" i="32"/>
  <c r="E133" i="32"/>
  <c r="E134" i="32"/>
  <c r="E135" i="32"/>
  <c r="E136" i="32"/>
  <c r="E137" i="32"/>
  <c r="E138" i="32"/>
  <c r="E139" i="32"/>
  <c r="E140" i="32"/>
  <c r="E141" i="32"/>
  <c r="E142" i="32"/>
  <c r="E143" i="32"/>
  <c r="E144" i="32"/>
  <c r="E145" i="32"/>
  <c r="E146" i="32"/>
  <c r="E199" i="32"/>
  <c r="I3" i="32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39" i="13"/>
  <c r="F5" i="13"/>
  <c r="J6" i="32"/>
  <c r="J8" i="32"/>
  <c r="I5" i="32"/>
  <c r="G17" i="31"/>
  <c r="G14" i="31"/>
  <c r="C16" i="31"/>
  <c r="E9" i="31"/>
  <c r="E10" i="31"/>
  <c r="E11" i="31"/>
  <c r="E12" i="31"/>
  <c r="E13" i="31"/>
  <c r="E14" i="31"/>
  <c r="E15" i="31"/>
  <c r="G6" i="31"/>
  <c r="G4" i="31"/>
  <c r="E3" i="31"/>
  <c r="G199" i="31"/>
  <c r="E4" i="31"/>
  <c r="E5" i="31"/>
  <c r="E6" i="31"/>
  <c r="E7" i="31"/>
  <c r="E8" i="31"/>
  <c r="E16" i="31"/>
  <c r="E17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38" i="31"/>
  <c r="E39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57" i="31"/>
  <c r="E58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02" i="31"/>
  <c r="E103" i="31"/>
  <c r="E104" i="31"/>
  <c r="E105" i="31"/>
  <c r="E106" i="31"/>
  <c r="E107" i="31"/>
  <c r="E108" i="31"/>
  <c r="E109" i="31"/>
  <c r="E110" i="31"/>
  <c r="E111" i="31"/>
  <c r="E112" i="31"/>
  <c r="E113" i="31"/>
  <c r="E114" i="31"/>
  <c r="E115" i="31"/>
  <c r="E116" i="31"/>
  <c r="E117" i="31"/>
  <c r="E118" i="31"/>
  <c r="E119" i="31"/>
  <c r="E120" i="31"/>
  <c r="E121" i="31"/>
  <c r="E122" i="31"/>
  <c r="E123" i="31"/>
  <c r="E124" i="31"/>
  <c r="E125" i="31"/>
  <c r="E126" i="31"/>
  <c r="E127" i="31"/>
  <c r="E128" i="31"/>
  <c r="E129" i="31"/>
  <c r="E130" i="31"/>
  <c r="E131" i="31"/>
  <c r="E132" i="31"/>
  <c r="E133" i="31"/>
  <c r="E134" i="31"/>
  <c r="E135" i="31"/>
  <c r="E136" i="31"/>
  <c r="E137" i="31"/>
  <c r="E138" i="31"/>
  <c r="E139" i="31"/>
  <c r="E140" i="31"/>
  <c r="E141" i="31"/>
  <c r="E142" i="31"/>
  <c r="E143" i="31"/>
  <c r="E144" i="31"/>
  <c r="E145" i="31"/>
  <c r="E146" i="31"/>
  <c r="E199" i="31"/>
  <c r="I3" i="31"/>
  <c r="D23" i="13"/>
  <c r="J6" i="31"/>
  <c r="J8" i="31"/>
  <c r="I5" i="31"/>
  <c r="G54" i="30"/>
  <c r="G46" i="30"/>
  <c r="G38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18" i="30"/>
  <c r="E19" i="30"/>
  <c r="E20" i="30"/>
  <c r="E21" i="30"/>
  <c r="E22" i="30"/>
  <c r="E23" i="30"/>
  <c r="E24" i="30"/>
  <c r="E25" i="30"/>
  <c r="E26" i="30"/>
  <c r="E27" i="30"/>
  <c r="E28" i="30"/>
  <c r="E29" i="30"/>
  <c r="E30" i="30"/>
  <c r="E31" i="30"/>
  <c r="E32" i="30"/>
  <c r="E33" i="30"/>
  <c r="E34" i="30"/>
  <c r="E35" i="30"/>
  <c r="E36" i="30"/>
  <c r="E37" i="30"/>
  <c r="E38" i="30"/>
  <c r="E39" i="30"/>
  <c r="E40" i="30"/>
  <c r="E41" i="30"/>
  <c r="E42" i="30"/>
  <c r="E43" i="30"/>
  <c r="E44" i="30"/>
  <c r="E45" i="30"/>
  <c r="E46" i="30"/>
  <c r="E47" i="30"/>
  <c r="E48" i="30"/>
  <c r="E49" i="30"/>
  <c r="E111" i="29"/>
  <c r="E112" i="29"/>
  <c r="E113" i="29"/>
  <c r="E114" i="29"/>
  <c r="E115" i="29"/>
  <c r="E116" i="29"/>
  <c r="E117" i="29"/>
  <c r="E118" i="29"/>
  <c r="E119" i="29"/>
  <c r="E120" i="29"/>
  <c r="E121" i="29"/>
  <c r="E122" i="29"/>
  <c r="E123" i="29"/>
  <c r="E124" i="29"/>
  <c r="E125" i="29"/>
  <c r="E126" i="29"/>
  <c r="E199" i="29"/>
  <c r="I3" i="29"/>
  <c r="E3" i="30"/>
  <c r="G199" i="30"/>
  <c r="E4" i="30"/>
  <c r="E50" i="30"/>
  <c r="E51" i="30"/>
  <c r="E52" i="30"/>
  <c r="E53" i="30"/>
  <c r="E54" i="30"/>
  <c r="E55" i="30"/>
  <c r="E56" i="30"/>
  <c r="E57" i="30"/>
  <c r="E58" i="30"/>
  <c r="E59" i="30"/>
  <c r="E60" i="30"/>
  <c r="E61" i="30"/>
  <c r="E62" i="30"/>
  <c r="E63" i="30"/>
  <c r="E64" i="30"/>
  <c r="E65" i="30"/>
  <c r="E66" i="30"/>
  <c r="E67" i="30"/>
  <c r="E68" i="30"/>
  <c r="E69" i="30"/>
  <c r="E70" i="30"/>
  <c r="E71" i="30"/>
  <c r="E72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85" i="30"/>
  <c r="E86" i="30"/>
  <c r="E87" i="30"/>
  <c r="E88" i="30"/>
  <c r="E89" i="30"/>
  <c r="E90" i="30"/>
  <c r="E91" i="30"/>
  <c r="E92" i="30"/>
  <c r="E93" i="30"/>
  <c r="E94" i="30"/>
  <c r="E95" i="30"/>
  <c r="E96" i="30"/>
  <c r="E97" i="30"/>
  <c r="E98" i="30"/>
  <c r="E99" i="30"/>
  <c r="E100" i="30"/>
  <c r="E101" i="30"/>
  <c r="E102" i="30"/>
  <c r="E103" i="30"/>
  <c r="E104" i="30"/>
  <c r="E105" i="30"/>
  <c r="E106" i="30"/>
  <c r="E107" i="30"/>
  <c r="E108" i="30"/>
  <c r="E109" i="30"/>
  <c r="E110" i="30"/>
  <c r="E111" i="30"/>
  <c r="E112" i="30"/>
  <c r="E113" i="30"/>
  <c r="E114" i="30"/>
  <c r="E115" i="30"/>
  <c r="E116" i="30"/>
  <c r="E117" i="30"/>
  <c r="E118" i="30"/>
  <c r="E119" i="30"/>
  <c r="E120" i="30"/>
  <c r="E121" i="30"/>
  <c r="E122" i="30"/>
  <c r="E123" i="30"/>
  <c r="E124" i="30"/>
  <c r="E125" i="30"/>
  <c r="E126" i="30"/>
  <c r="E127" i="30"/>
  <c r="E128" i="30"/>
  <c r="E129" i="30"/>
  <c r="E130" i="30"/>
  <c r="E131" i="30"/>
  <c r="E132" i="30"/>
  <c r="E133" i="30"/>
  <c r="E134" i="30"/>
  <c r="E135" i="30"/>
  <c r="E136" i="30"/>
  <c r="E137" i="30"/>
  <c r="E138" i="30"/>
  <c r="E139" i="30"/>
  <c r="E140" i="30"/>
  <c r="E141" i="30"/>
  <c r="E142" i="30"/>
  <c r="E143" i="30"/>
  <c r="E144" i="30"/>
  <c r="E145" i="30"/>
  <c r="E146" i="30"/>
  <c r="E199" i="30"/>
  <c r="I3" i="30"/>
  <c r="D24" i="13"/>
  <c r="J6" i="30"/>
  <c r="J8" i="30"/>
  <c r="I5" i="30"/>
  <c r="G38" i="29"/>
  <c r="E60" i="29"/>
  <c r="E53" i="29"/>
  <c r="E54" i="29"/>
  <c r="E55" i="29"/>
  <c r="E56" i="29"/>
  <c r="E57" i="29"/>
  <c r="E58" i="29"/>
  <c r="E59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E104" i="29"/>
  <c r="E105" i="29"/>
  <c r="E106" i="29"/>
  <c r="E107" i="29"/>
  <c r="E108" i="29"/>
  <c r="E109" i="29"/>
  <c r="E110" i="29"/>
  <c r="G199" i="29"/>
  <c r="F3" i="13"/>
  <c r="F8" i="13"/>
  <c r="C51" i="29"/>
  <c r="G5" i="29"/>
  <c r="G199" i="26"/>
  <c r="I3" i="26"/>
  <c r="E3" i="29"/>
  <c r="E4" i="29"/>
  <c r="E5" i="29"/>
  <c r="E6" i="29"/>
  <c r="E7" i="29"/>
  <c r="E8" i="29"/>
  <c r="E9" i="29"/>
  <c r="E10" i="29"/>
  <c r="E11" i="29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127" i="29"/>
  <c r="E128" i="29"/>
  <c r="E129" i="29"/>
  <c r="E130" i="29"/>
  <c r="E131" i="29"/>
  <c r="E132" i="29"/>
  <c r="E133" i="29"/>
  <c r="E134" i="29"/>
  <c r="E135" i="29"/>
  <c r="E136" i="29"/>
  <c r="E137" i="29"/>
  <c r="E138" i="29"/>
  <c r="E139" i="29"/>
  <c r="E140" i="29"/>
  <c r="E141" i="29"/>
  <c r="E142" i="29"/>
  <c r="E143" i="29"/>
  <c r="E144" i="29"/>
  <c r="E145" i="29"/>
  <c r="E146" i="29"/>
  <c r="J6" i="29"/>
  <c r="J8" i="29"/>
  <c r="I5" i="29"/>
  <c r="E146" i="26"/>
  <c r="E145" i="26"/>
  <c r="E144" i="26"/>
  <c r="E143" i="26"/>
  <c r="E142" i="26"/>
  <c r="E141" i="26"/>
  <c r="C140" i="26"/>
  <c r="E140" i="26"/>
  <c r="E139" i="26"/>
  <c r="E138" i="26"/>
  <c r="E137" i="26"/>
  <c r="E136" i="26"/>
  <c r="E135" i="26"/>
  <c r="E134" i="26"/>
  <c r="G89" i="26"/>
  <c r="G88" i="26"/>
  <c r="G87" i="26"/>
  <c r="E58" i="26"/>
  <c r="G49" i="26"/>
  <c r="B3" i="28"/>
  <c r="G199" i="24"/>
  <c r="I3" i="24"/>
  <c r="E3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9" i="26"/>
  <c r="E121" i="26"/>
  <c r="E122" i="26"/>
  <c r="E125" i="26"/>
  <c r="E123" i="26"/>
  <c r="E124" i="26"/>
  <c r="E126" i="26"/>
  <c r="E127" i="26"/>
  <c r="E128" i="26"/>
  <c r="E130" i="26"/>
  <c r="E131" i="26"/>
  <c r="E132" i="26"/>
  <c r="E133" i="26"/>
  <c r="E199" i="26"/>
  <c r="B2" i="28"/>
  <c r="D25" i="13"/>
  <c r="D26" i="13"/>
  <c r="J6" i="26"/>
  <c r="G30" i="26"/>
  <c r="G21" i="26"/>
  <c r="G20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J8" i="26"/>
  <c r="I5" i="26"/>
  <c r="G103" i="24"/>
  <c r="G96" i="24"/>
  <c r="G93" i="24"/>
  <c r="G92" i="24"/>
  <c r="G62" i="24"/>
  <c r="G52" i="24"/>
  <c r="G24" i="24"/>
  <c r="G23" i="24"/>
  <c r="D5" i="25"/>
  <c r="D1" i="25"/>
  <c r="C1" i="25"/>
  <c r="C3" i="25"/>
  <c r="A3" i="25"/>
  <c r="A1" i="25"/>
  <c r="G17" i="24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99" i="24"/>
  <c r="J8" i="24"/>
  <c r="I5" i="24"/>
  <c r="E3" i="23"/>
  <c r="G199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99" i="23"/>
  <c r="I3" i="23"/>
  <c r="J6" i="23"/>
  <c r="J8" i="23"/>
  <c r="I5" i="23"/>
  <c r="G23" i="22"/>
  <c r="E3" i="22"/>
  <c r="G199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99" i="22"/>
  <c r="I3" i="22"/>
  <c r="J6" i="22"/>
  <c r="J8" i="22"/>
  <c r="I5" i="22"/>
  <c r="G27" i="21"/>
  <c r="E15" i="21"/>
  <c r="G5" i="21"/>
  <c r="E3" i="21"/>
  <c r="G199" i="21"/>
  <c r="E4" i="21"/>
  <c r="E5" i="21"/>
  <c r="E6" i="21"/>
  <c r="E7" i="21"/>
  <c r="E8" i="21"/>
  <c r="E9" i="21"/>
  <c r="E10" i="21"/>
  <c r="E11" i="21"/>
  <c r="E12" i="21"/>
  <c r="E13" i="21"/>
  <c r="E14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99" i="21"/>
  <c r="I3" i="21"/>
  <c r="J6" i="21"/>
  <c r="J8" i="21"/>
  <c r="I5" i="21"/>
  <c r="G25" i="20"/>
  <c r="C42" i="20"/>
  <c r="E3" i="20"/>
  <c r="G199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99" i="20"/>
  <c r="I3" i="20"/>
  <c r="J6" i="20"/>
  <c r="J8" i="20"/>
  <c r="I5" i="20"/>
  <c r="G49" i="19"/>
  <c r="G35" i="19"/>
  <c r="G33" i="19"/>
  <c r="G32" i="19"/>
  <c r="G199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199" i="19"/>
  <c r="I3" i="19"/>
  <c r="E4" i="19"/>
  <c r="E5" i="19"/>
  <c r="E6" i="19"/>
  <c r="E7" i="19"/>
  <c r="E8" i="19"/>
  <c r="E9" i="19"/>
  <c r="E10" i="19"/>
  <c r="E11" i="19"/>
  <c r="E12" i="19"/>
  <c r="E13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D27" i="13"/>
  <c r="D28" i="13"/>
  <c r="J6" i="19"/>
  <c r="J8" i="19"/>
  <c r="I5" i="19"/>
  <c r="G3" i="18"/>
  <c r="G199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99" i="18"/>
  <c r="I3" i="18"/>
  <c r="J6" i="18"/>
  <c r="J8" i="18"/>
  <c r="I5" i="18"/>
  <c r="G41" i="17"/>
  <c r="G28" i="17"/>
  <c r="C43" i="17"/>
  <c r="C44" i="17"/>
  <c r="G16" i="17"/>
  <c r="G14" i="17"/>
  <c r="E3" i="17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D29" i="13"/>
  <c r="J6" i="16"/>
  <c r="G199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99" i="17"/>
  <c r="I3" i="17"/>
  <c r="J6" i="17"/>
  <c r="J8" i="17"/>
  <c r="I5" i="17"/>
  <c r="G73" i="16"/>
  <c r="E133" i="16"/>
  <c r="E132" i="16"/>
  <c r="E117" i="16"/>
  <c r="G36" i="16"/>
  <c r="G33" i="16"/>
  <c r="G20" i="16"/>
  <c r="G24" i="16"/>
  <c r="G199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10" i="16"/>
  <c r="E111" i="16"/>
  <c r="E112" i="16"/>
  <c r="E113" i="16"/>
  <c r="E102" i="16"/>
  <c r="E103" i="16"/>
  <c r="E104" i="16"/>
  <c r="E105" i="16"/>
  <c r="E106" i="16"/>
  <c r="E107" i="16"/>
  <c r="E108" i="16"/>
  <c r="E109" i="16"/>
  <c r="E114" i="16"/>
  <c r="E115" i="16"/>
  <c r="E116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99" i="16"/>
  <c r="I3" i="16"/>
  <c r="E3" i="16"/>
  <c r="G3" i="16"/>
  <c r="J6" i="14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J8" i="16"/>
  <c r="I5" i="16"/>
  <c r="E131" i="14"/>
  <c r="E130" i="14"/>
  <c r="E123" i="14"/>
  <c r="E112" i="14"/>
  <c r="C8" i="15"/>
  <c r="B8" i="15"/>
  <c r="C5" i="15"/>
  <c r="C4" i="15"/>
  <c r="B4" i="15"/>
  <c r="G70" i="14"/>
  <c r="G69" i="14"/>
  <c r="D8" i="15"/>
  <c r="D7" i="15"/>
  <c r="D6" i="15"/>
  <c r="D5" i="15"/>
  <c r="D4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E96" i="14"/>
  <c r="E97" i="14"/>
  <c r="E98" i="14"/>
  <c r="E99" i="14"/>
  <c r="E100" i="14"/>
  <c r="E101" i="14"/>
  <c r="E102" i="14"/>
  <c r="E103" i="14"/>
  <c r="E104" i="14"/>
  <c r="E105" i="14"/>
  <c r="E107" i="14"/>
  <c r="E108" i="14"/>
  <c r="E109" i="14"/>
  <c r="E110" i="14"/>
  <c r="E111" i="14"/>
  <c r="E113" i="14"/>
  <c r="E114" i="14"/>
  <c r="E115" i="14"/>
  <c r="E116" i="14"/>
  <c r="E118" i="14"/>
  <c r="E119" i="14"/>
  <c r="E120" i="14"/>
  <c r="E121" i="14"/>
  <c r="E122" i="14"/>
  <c r="E124" i="14"/>
  <c r="E126" i="14"/>
  <c r="E127" i="14"/>
  <c r="E128" i="14"/>
  <c r="E129" i="14"/>
  <c r="E199" i="14"/>
  <c r="G199" i="14"/>
  <c r="I3" i="14"/>
  <c r="H3" i="15"/>
  <c r="H5" i="15"/>
  <c r="H8" i="15"/>
  <c r="E82" i="14"/>
  <c r="G41" i="14"/>
  <c r="G33" i="14"/>
  <c r="E52" i="14"/>
  <c r="E53" i="14"/>
  <c r="E54" i="14"/>
  <c r="E55" i="14"/>
  <c r="E56" i="14"/>
  <c r="E57" i="14"/>
  <c r="E59" i="14"/>
  <c r="E58" i="14"/>
  <c r="E61" i="14"/>
  <c r="E62" i="14"/>
  <c r="E63" i="14"/>
  <c r="E64" i="14"/>
  <c r="E65" i="14"/>
  <c r="E66" i="14"/>
  <c r="E67" i="14"/>
  <c r="E68" i="14"/>
  <c r="E69" i="14"/>
  <c r="E70" i="14"/>
  <c r="E71" i="14"/>
  <c r="E73" i="14"/>
  <c r="E74" i="14"/>
  <c r="E75" i="14"/>
  <c r="E76" i="14"/>
  <c r="E77" i="14"/>
  <c r="E78" i="14"/>
  <c r="E79" i="14"/>
  <c r="E80" i="14"/>
  <c r="E81" i="14"/>
  <c r="E84" i="14"/>
  <c r="E85" i="14"/>
  <c r="E86" i="14"/>
  <c r="E87" i="14"/>
  <c r="E88" i="14"/>
  <c r="E89" i="14"/>
  <c r="E90" i="14"/>
  <c r="E91" i="14"/>
  <c r="E92" i="14"/>
  <c r="E93" i="14"/>
  <c r="E94" i="14"/>
  <c r="E43" i="14"/>
  <c r="E44" i="14"/>
  <c r="E45" i="14"/>
  <c r="E46" i="14"/>
  <c r="E48" i="14"/>
  <c r="E49" i="14"/>
  <c r="E50" i="14"/>
  <c r="I5" i="14"/>
  <c r="G13" i="14"/>
  <c r="C12" i="14"/>
  <c r="G199" i="9"/>
  <c r="I3" i="9"/>
  <c r="E3" i="14"/>
  <c r="G77" i="9"/>
  <c r="G74" i="9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7" i="14"/>
  <c r="E51" i="14"/>
  <c r="E60" i="14"/>
  <c r="E72" i="14"/>
  <c r="E83" i="14"/>
  <c r="E95" i="14"/>
  <c r="E106" i="14"/>
  <c r="E125" i="14"/>
  <c r="J8" i="14"/>
  <c r="E50" i="9"/>
  <c r="E51" i="9"/>
  <c r="E52" i="9"/>
  <c r="E53" i="9"/>
  <c r="E54" i="9"/>
  <c r="E55" i="9"/>
  <c r="E57" i="9"/>
  <c r="E58" i="9"/>
  <c r="E59" i="9"/>
  <c r="E60" i="9"/>
  <c r="E61" i="9"/>
  <c r="E63" i="9"/>
  <c r="E64" i="9"/>
  <c r="E65" i="9"/>
  <c r="E66" i="9"/>
  <c r="E67" i="9"/>
  <c r="E68" i="9"/>
  <c r="E69" i="9"/>
  <c r="E70" i="9"/>
  <c r="E73" i="9"/>
  <c r="E74" i="9"/>
  <c r="E75" i="9"/>
  <c r="E72" i="9"/>
  <c r="E76" i="9"/>
  <c r="E77" i="9"/>
  <c r="E78" i="9"/>
  <c r="E79" i="9"/>
  <c r="E199" i="9"/>
  <c r="J6" i="9"/>
  <c r="J8" i="9"/>
  <c r="J16" i="9"/>
  <c r="C23" i="9"/>
  <c r="G10" i="9"/>
  <c r="C19" i="9"/>
  <c r="E11" i="9"/>
  <c r="E12" i="9"/>
  <c r="E13" i="9"/>
  <c r="E14" i="9"/>
  <c r="E15" i="9"/>
  <c r="E16" i="9"/>
  <c r="E18" i="9"/>
  <c r="E19" i="9"/>
  <c r="E20" i="9"/>
  <c r="E17" i="9"/>
  <c r="E21" i="9"/>
  <c r="E23" i="9"/>
  <c r="E24" i="9"/>
  <c r="E25" i="9"/>
  <c r="E26" i="9"/>
  <c r="E27" i="9"/>
  <c r="E28" i="9"/>
  <c r="E30" i="9"/>
  <c r="E31" i="9"/>
  <c r="E32" i="9"/>
  <c r="E33" i="9"/>
  <c r="E34" i="9"/>
  <c r="E36" i="9"/>
  <c r="E35" i="9"/>
  <c r="E39" i="9"/>
  <c r="E40" i="9"/>
  <c r="E38" i="9"/>
  <c r="E41" i="9"/>
  <c r="E42" i="9"/>
  <c r="E44" i="9"/>
  <c r="E45" i="9"/>
  <c r="E46" i="9"/>
  <c r="E47" i="9"/>
  <c r="E48" i="9"/>
  <c r="C7" i="9"/>
  <c r="C5" i="9"/>
  <c r="G73" i="3"/>
  <c r="J6" i="3"/>
  <c r="E131" i="3"/>
  <c r="E130" i="3"/>
  <c r="C130" i="3"/>
  <c r="E129" i="3"/>
  <c r="E199" i="3"/>
  <c r="G199" i="3"/>
  <c r="I3" i="3"/>
  <c r="E4" i="9"/>
  <c r="E5" i="9"/>
  <c r="E6" i="9"/>
  <c r="E7" i="9"/>
  <c r="E8" i="9"/>
  <c r="E9" i="9"/>
  <c r="E10" i="9"/>
  <c r="E22" i="9"/>
  <c r="E29" i="9"/>
  <c r="E37" i="9"/>
  <c r="E43" i="9"/>
  <c r="E49" i="9"/>
  <c r="E56" i="9"/>
  <c r="E62" i="9"/>
  <c r="E71" i="9"/>
  <c r="E80" i="9"/>
  <c r="E81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3" i="9"/>
  <c r="E114" i="9"/>
  <c r="E115" i="9"/>
  <c r="E116" i="9"/>
  <c r="E118" i="9"/>
  <c r="E119" i="9"/>
  <c r="E120" i="9"/>
  <c r="E121" i="9"/>
  <c r="E122" i="9"/>
  <c r="E124" i="9"/>
  <c r="E125" i="9"/>
  <c r="E126" i="9"/>
  <c r="E127" i="9"/>
  <c r="E128" i="9"/>
  <c r="E129" i="9"/>
  <c r="E128" i="3"/>
  <c r="E126" i="3"/>
  <c r="E125" i="3"/>
  <c r="C124" i="3"/>
  <c r="E127" i="3"/>
  <c r="E124" i="3"/>
  <c r="E122" i="3"/>
  <c r="E121" i="3"/>
  <c r="E120" i="3"/>
  <c r="E119" i="3"/>
  <c r="E118" i="3"/>
  <c r="C119" i="3"/>
  <c r="F21" i="12"/>
  <c r="F17" i="12"/>
  <c r="F16" i="12"/>
  <c r="F9" i="12"/>
  <c r="D21" i="12"/>
  <c r="D9" i="12"/>
  <c r="D17" i="12"/>
  <c r="D16" i="12"/>
  <c r="F23" i="12"/>
  <c r="D23" i="12"/>
  <c r="F10" i="12"/>
  <c r="D10" i="12"/>
  <c r="F4" i="12"/>
  <c r="D4" i="12"/>
  <c r="B17" i="12"/>
  <c r="B16" i="12"/>
  <c r="B9" i="12"/>
  <c r="B4" i="12"/>
  <c r="F32" i="12"/>
  <c r="H3" i="12"/>
  <c r="H5" i="12"/>
  <c r="H8" i="12"/>
  <c r="E116" i="3"/>
  <c r="E115" i="3"/>
  <c r="E114" i="3"/>
  <c r="E113" i="3"/>
  <c r="C115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D14" i="11"/>
  <c r="E91" i="3"/>
  <c r="C91" i="3"/>
  <c r="C89" i="3"/>
  <c r="G48" i="3"/>
  <c r="C87" i="3"/>
  <c r="C85" i="3"/>
  <c r="D4" i="11"/>
  <c r="D5" i="11"/>
  <c r="D6" i="11"/>
  <c r="D7" i="11"/>
  <c r="D8" i="11"/>
  <c r="D9" i="11"/>
  <c r="D10" i="11"/>
  <c r="D11" i="11"/>
  <c r="D12" i="11"/>
  <c r="D13" i="11"/>
  <c r="D15" i="11"/>
  <c r="D16" i="11"/>
  <c r="D17" i="11"/>
  <c r="D18" i="11"/>
  <c r="D19" i="11"/>
  <c r="D20" i="11"/>
  <c r="D21" i="11"/>
  <c r="D22" i="11"/>
  <c r="D23" i="11"/>
  <c r="D24" i="11"/>
  <c r="D25" i="11"/>
  <c r="D32" i="11"/>
  <c r="F5" i="11"/>
  <c r="D27" i="11"/>
  <c r="D28" i="11"/>
  <c r="E83" i="3"/>
  <c r="E84" i="3"/>
  <c r="E85" i="3"/>
  <c r="E86" i="3"/>
  <c r="E87" i="3"/>
  <c r="E88" i="3"/>
  <c r="E89" i="3"/>
  <c r="E90" i="3"/>
  <c r="E92" i="3"/>
  <c r="E93" i="3"/>
  <c r="E95" i="3"/>
  <c r="E96" i="3"/>
  <c r="E97" i="3"/>
  <c r="E98" i="3"/>
  <c r="F3" i="11"/>
  <c r="F8" i="11"/>
  <c r="C75" i="3"/>
  <c r="C77" i="3"/>
  <c r="C76" i="3"/>
  <c r="E74" i="3"/>
  <c r="E72" i="3"/>
  <c r="D14" i="7"/>
  <c r="E65" i="3"/>
  <c r="E60" i="3"/>
  <c r="C64" i="3"/>
  <c r="E52" i="3"/>
  <c r="C52" i="3"/>
  <c r="C49" i="3"/>
  <c r="D4" i="7"/>
  <c r="D10" i="7"/>
  <c r="D6" i="7"/>
  <c r="D21" i="7"/>
  <c r="E43" i="3"/>
  <c r="C43" i="3"/>
  <c r="C42" i="3"/>
  <c r="E30" i="3"/>
  <c r="C26" i="3"/>
  <c r="C25" i="3"/>
  <c r="E24" i="3"/>
  <c r="C17" i="3"/>
  <c r="C15" i="3"/>
  <c r="E16" i="3"/>
  <c r="C16" i="3"/>
  <c r="G44" i="6"/>
  <c r="G58" i="6"/>
  <c r="G199" i="6"/>
  <c r="E4" i="6"/>
  <c r="E5" i="6"/>
  <c r="E6" i="6"/>
  <c r="E7" i="6"/>
  <c r="E8" i="6"/>
  <c r="E9" i="6"/>
  <c r="E10" i="6"/>
  <c r="E11" i="6"/>
  <c r="E12" i="6"/>
  <c r="E13" i="6"/>
  <c r="E14" i="6"/>
  <c r="E15" i="6"/>
  <c r="E17" i="6"/>
  <c r="E18" i="6"/>
  <c r="E19" i="6"/>
  <c r="E20" i="6"/>
  <c r="E21" i="6"/>
  <c r="E22" i="6"/>
  <c r="E23" i="6"/>
  <c r="E25" i="6"/>
  <c r="E26" i="6"/>
  <c r="E27" i="6"/>
  <c r="E28" i="6"/>
  <c r="E29" i="6"/>
  <c r="E31" i="6"/>
  <c r="E32" i="6"/>
  <c r="E33" i="6"/>
  <c r="C34" i="6"/>
  <c r="E34" i="6"/>
  <c r="C35" i="6"/>
  <c r="E35" i="6"/>
  <c r="E36" i="6"/>
  <c r="E37" i="6"/>
  <c r="E38" i="6"/>
  <c r="E39" i="6"/>
  <c r="C40" i="6"/>
  <c r="E40" i="6"/>
  <c r="C41" i="6"/>
  <c r="E41" i="6"/>
  <c r="E42" i="6"/>
  <c r="C44" i="6"/>
  <c r="E44" i="6"/>
  <c r="E45" i="6"/>
  <c r="C46" i="6"/>
  <c r="E46" i="6"/>
  <c r="E47" i="6"/>
  <c r="E48" i="6"/>
  <c r="C49" i="6"/>
  <c r="E49" i="6"/>
  <c r="C50" i="6"/>
  <c r="E50" i="6"/>
  <c r="C51" i="6"/>
  <c r="E51" i="6"/>
  <c r="E53" i="6"/>
  <c r="E54" i="6"/>
  <c r="E55" i="6"/>
  <c r="E56" i="6"/>
  <c r="E57" i="6"/>
  <c r="E58" i="6"/>
  <c r="E59" i="6"/>
  <c r="E61" i="6"/>
  <c r="E62" i="6"/>
  <c r="C63" i="6"/>
  <c r="E63" i="6"/>
  <c r="C64" i="6"/>
  <c r="E64" i="6"/>
  <c r="E66" i="6"/>
  <c r="E67" i="6"/>
  <c r="E68" i="6"/>
  <c r="C69" i="6"/>
  <c r="E69" i="6"/>
  <c r="C70" i="6"/>
  <c r="E70" i="6"/>
  <c r="E71" i="6"/>
  <c r="E73" i="6"/>
  <c r="E75" i="6"/>
  <c r="E76" i="6"/>
  <c r="E77" i="6"/>
  <c r="E78" i="6"/>
  <c r="C79" i="6"/>
  <c r="E79" i="6"/>
  <c r="C80" i="6"/>
  <c r="E80" i="6"/>
  <c r="E81" i="6"/>
  <c r="C83" i="6"/>
  <c r="E83" i="6"/>
  <c r="C84" i="6"/>
  <c r="E84" i="6"/>
  <c r="C85" i="6"/>
  <c r="E85" i="6"/>
  <c r="E86" i="6"/>
  <c r="E87" i="6"/>
  <c r="C88" i="6"/>
  <c r="E88" i="6"/>
  <c r="E89" i="6"/>
  <c r="C90" i="6"/>
  <c r="E90" i="6"/>
  <c r="C92" i="6"/>
  <c r="E92" i="6"/>
  <c r="E93" i="6"/>
  <c r="C94" i="6"/>
  <c r="E94" i="6"/>
  <c r="C95" i="6"/>
  <c r="E95" i="6"/>
  <c r="C96" i="6"/>
  <c r="E96" i="6"/>
  <c r="C97" i="6"/>
  <c r="E97" i="6"/>
  <c r="C98" i="6"/>
  <c r="E98" i="6"/>
  <c r="E199" i="6"/>
  <c r="I3" i="6"/>
  <c r="D7" i="7"/>
  <c r="D8" i="7"/>
  <c r="D9" i="7"/>
  <c r="D11" i="7"/>
  <c r="D12" i="7"/>
  <c r="D15" i="7"/>
  <c r="D16" i="7"/>
  <c r="D17" i="7"/>
  <c r="D18" i="7"/>
  <c r="D19" i="7"/>
  <c r="D20" i="7"/>
  <c r="D22" i="7"/>
  <c r="D27" i="7"/>
  <c r="D5" i="7"/>
  <c r="D32" i="7"/>
  <c r="F5" i="7"/>
  <c r="J6" i="6"/>
  <c r="J8" i="6"/>
  <c r="D7" i="8"/>
  <c r="D10" i="8"/>
  <c r="D5" i="8"/>
  <c r="D16" i="8"/>
  <c r="D17" i="8"/>
  <c r="B17" i="8"/>
  <c r="D19" i="8"/>
  <c r="B19" i="8"/>
  <c r="D18" i="8"/>
  <c r="D15" i="8"/>
  <c r="B18" i="8"/>
  <c r="B15" i="8"/>
  <c r="E94" i="3"/>
  <c r="D28" i="7"/>
  <c r="E75" i="3"/>
  <c r="E81" i="3"/>
  <c r="E80" i="3"/>
  <c r="E79" i="3"/>
  <c r="E78" i="3"/>
  <c r="E77" i="3"/>
  <c r="E76" i="3"/>
  <c r="D13" i="7"/>
  <c r="D23" i="7"/>
  <c r="D24" i="7"/>
  <c r="D25" i="7"/>
  <c r="E4" i="3"/>
  <c r="E5" i="3"/>
  <c r="E6" i="3"/>
  <c r="E7" i="3"/>
  <c r="E8" i="3"/>
  <c r="E9" i="3"/>
  <c r="E10" i="3"/>
  <c r="E11" i="3"/>
  <c r="E12" i="3"/>
  <c r="E13" i="3"/>
  <c r="E14" i="3"/>
  <c r="E15" i="3"/>
  <c r="E17" i="3"/>
  <c r="E18" i="3"/>
  <c r="E19" i="3"/>
  <c r="E20" i="3"/>
  <c r="E21" i="3"/>
  <c r="E22" i="3"/>
  <c r="E23" i="3"/>
  <c r="E25" i="3"/>
  <c r="E26" i="3"/>
  <c r="E27" i="3"/>
  <c r="E28" i="3"/>
  <c r="E29" i="3"/>
  <c r="E31" i="3"/>
  <c r="E32" i="3"/>
  <c r="E33" i="3"/>
  <c r="E34" i="3"/>
  <c r="E35" i="3"/>
  <c r="E36" i="3"/>
  <c r="E37" i="3"/>
  <c r="E38" i="3"/>
  <c r="E39" i="3"/>
  <c r="E40" i="3"/>
  <c r="E41" i="3"/>
  <c r="E42" i="3"/>
  <c r="E44" i="3"/>
  <c r="E45" i="3"/>
  <c r="E46" i="3"/>
  <c r="E47" i="3"/>
  <c r="E48" i="3"/>
  <c r="E49" i="3"/>
  <c r="E50" i="3"/>
  <c r="E51" i="3"/>
  <c r="E53" i="3"/>
  <c r="E54" i="3"/>
  <c r="E55" i="3"/>
  <c r="E56" i="3"/>
  <c r="E57" i="3"/>
  <c r="E58" i="3"/>
  <c r="E59" i="3"/>
  <c r="E61" i="3"/>
  <c r="E62" i="3"/>
  <c r="E63" i="3"/>
  <c r="E64" i="3"/>
  <c r="E66" i="3"/>
  <c r="E67" i="3"/>
  <c r="E68" i="3"/>
  <c r="E69" i="3"/>
  <c r="E70" i="3"/>
  <c r="E71" i="3"/>
  <c r="E73" i="3"/>
  <c r="F3" i="7"/>
  <c r="F8" i="7"/>
  <c r="J8" i="3"/>
  <c r="E123" i="1"/>
  <c r="E122" i="1"/>
  <c r="E121" i="1"/>
  <c r="E120" i="1"/>
  <c r="E119" i="1"/>
  <c r="E118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2" i="1"/>
  <c r="E101" i="1"/>
  <c r="C102" i="1"/>
  <c r="C101" i="1"/>
  <c r="E100" i="1"/>
  <c r="E99" i="1"/>
  <c r="E98" i="1"/>
  <c r="E97" i="1"/>
  <c r="E96" i="1"/>
  <c r="C98" i="1"/>
  <c r="E95" i="1"/>
  <c r="E94" i="1"/>
  <c r="E93" i="1"/>
  <c r="E92" i="1"/>
  <c r="E91" i="1"/>
  <c r="E89" i="1"/>
  <c r="E88" i="1"/>
  <c r="C85" i="1"/>
  <c r="E87" i="1"/>
  <c r="E86" i="1"/>
  <c r="E85" i="1"/>
  <c r="E84" i="1"/>
  <c r="E83" i="1"/>
  <c r="E82" i="1"/>
  <c r="E81" i="1"/>
  <c r="E80" i="1"/>
  <c r="E78" i="1"/>
  <c r="E77" i="1"/>
  <c r="E76" i="1"/>
  <c r="E75" i="1"/>
  <c r="E73" i="1"/>
  <c r="E72" i="1"/>
  <c r="E71" i="1"/>
  <c r="E70" i="1"/>
  <c r="E69" i="1"/>
  <c r="E68" i="1"/>
  <c r="G42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1" i="1"/>
  <c r="J6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G200" i="1"/>
  <c r="E200" i="1"/>
  <c r="I3" i="1"/>
  <c r="E31" i="1"/>
  <c r="E30" i="1"/>
  <c r="E29" i="1"/>
  <c r="E28" i="1"/>
  <c r="E27" i="1"/>
  <c r="E26" i="1"/>
  <c r="E25" i="1"/>
  <c r="E24" i="1"/>
  <c r="E23" i="1"/>
  <c r="E22" i="1"/>
  <c r="E21" i="1"/>
  <c r="G20" i="1"/>
  <c r="E19" i="1"/>
  <c r="G16" i="1"/>
  <c r="E18" i="1"/>
  <c r="E17" i="1"/>
  <c r="E16" i="1"/>
  <c r="E15" i="1"/>
  <c r="E14" i="1"/>
  <c r="E13" i="1"/>
  <c r="E12" i="1"/>
  <c r="G13" i="1"/>
  <c r="E11" i="1"/>
  <c r="G10" i="1"/>
  <c r="E9" i="1"/>
  <c r="E8" i="1"/>
  <c r="E7" i="1"/>
  <c r="J8" i="1"/>
  <c r="E6" i="1"/>
  <c r="E5" i="1"/>
  <c r="E4" i="1"/>
</calcChain>
</file>

<file path=xl/sharedStrings.xml><?xml version="1.0" encoding="utf-8"?>
<sst xmlns="http://schemas.openxmlformats.org/spreadsheetml/2006/main" count="2097" uniqueCount="402">
  <si>
    <t>Число</t>
  </si>
  <si>
    <t>Модел</t>
  </si>
  <si>
    <t>Сони</t>
  </si>
  <si>
    <t>Нархи</t>
  </si>
  <si>
    <t>Сумма</t>
  </si>
  <si>
    <t>Реализация</t>
  </si>
  <si>
    <t>Касса</t>
  </si>
  <si>
    <t>Остатка сумма олдинги</t>
  </si>
  <si>
    <t>шим двойка</t>
  </si>
  <si>
    <t>молда</t>
  </si>
  <si>
    <t>Баланс</t>
  </si>
  <si>
    <t>Остатка сумма</t>
  </si>
  <si>
    <t>супер куйлак</t>
  </si>
  <si>
    <t>супер двойка</t>
  </si>
  <si>
    <t>остатка  товар.</t>
  </si>
  <si>
    <t>Фарки</t>
  </si>
  <si>
    <t>капалак</t>
  </si>
  <si>
    <t>микки капишон</t>
  </si>
  <si>
    <t>соол, айик</t>
  </si>
  <si>
    <t>очки двойка</t>
  </si>
  <si>
    <t>об.берилган</t>
  </si>
  <si>
    <t>об.остатка</t>
  </si>
  <si>
    <t>разница</t>
  </si>
  <si>
    <t>смайлик двойка</t>
  </si>
  <si>
    <t>мол. штабга</t>
  </si>
  <si>
    <t>футболка веш.</t>
  </si>
  <si>
    <t>кракадил/маймун</t>
  </si>
  <si>
    <t>крокодил</t>
  </si>
  <si>
    <t>смайл джинси</t>
  </si>
  <si>
    <t>фут.крокодил</t>
  </si>
  <si>
    <t>илхом</t>
  </si>
  <si>
    <t>воз.участка</t>
  </si>
  <si>
    <t>уйда</t>
  </si>
  <si>
    <t>касса</t>
  </si>
  <si>
    <t>тигр</t>
  </si>
  <si>
    <t>хуршид</t>
  </si>
  <si>
    <t>адидас олдим</t>
  </si>
  <si>
    <t>айик двойка</t>
  </si>
  <si>
    <t xml:space="preserve">шим двойка </t>
  </si>
  <si>
    <t>куён тройка</t>
  </si>
  <si>
    <t>горох двойка</t>
  </si>
  <si>
    <t>тигр лайкра</t>
  </si>
  <si>
    <t>тоника мушук</t>
  </si>
  <si>
    <t>тоника</t>
  </si>
  <si>
    <t>баскетбол</t>
  </si>
  <si>
    <t>возврат</t>
  </si>
  <si>
    <t>микки ловет</t>
  </si>
  <si>
    <t>лол мини</t>
  </si>
  <si>
    <t>лол минни</t>
  </si>
  <si>
    <t>ловет двойка</t>
  </si>
  <si>
    <t>горох лол</t>
  </si>
  <si>
    <t>крокадил лайкра</t>
  </si>
  <si>
    <t>ромашка</t>
  </si>
  <si>
    <t>пластик</t>
  </si>
  <si>
    <t xml:space="preserve">крокадил </t>
  </si>
  <si>
    <t>лол мини туширилган</t>
  </si>
  <si>
    <t>крокадил</t>
  </si>
  <si>
    <t>айик капалак</t>
  </si>
  <si>
    <t>кофта тарвуз</t>
  </si>
  <si>
    <t>лион шортик</t>
  </si>
  <si>
    <t>капалак айик почка</t>
  </si>
  <si>
    <t>айик капалак веш.</t>
  </si>
  <si>
    <t>капалак айик поч.</t>
  </si>
  <si>
    <t>коф.Тарвуз</t>
  </si>
  <si>
    <t>айик кофта</t>
  </si>
  <si>
    <t>майка маймун</t>
  </si>
  <si>
    <t>скидка</t>
  </si>
  <si>
    <t>тигр полестр</t>
  </si>
  <si>
    <t>айик калла</t>
  </si>
  <si>
    <t>очки шапка</t>
  </si>
  <si>
    <t>айик калла полестр</t>
  </si>
  <si>
    <t xml:space="preserve">возврат сумма </t>
  </si>
  <si>
    <t>возврат лайкра</t>
  </si>
  <si>
    <t>айик каллалар</t>
  </si>
  <si>
    <t>шамка</t>
  </si>
  <si>
    <t>супер куён кўйлак</t>
  </si>
  <si>
    <t>микки ўгил киз</t>
  </si>
  <si>
    <t>микки МХ</t>
  </si>
  <si>
    <t>адидас полестр</t>
  </si>
  <si>
    <t>доначи</t>
  </si>
  <si>
    <t>н</t>
  </si>
  <si>
    <t>адидас пол. 3 раз.</t>
  </si>
  <si>
    <t>тожик</t>
  </si>
  <si>
    <t>воз. лайкрала</t>
  </si>
  <si>
    <t>ари полестр</t>
  </si>
  <si>
    <t>о</t>
  </si>
  <si>
    <t xml:space="preserve">тишли </t>
  </si>
  <si>
    <t>тишли полестр</t>
  </si>
  <si>
    <t>ост.</t>
  </si>
  <si>
    <t>сотилган</t>
  </si>
  <si>
    <t xml:space="preserve">юлдузча </t>
  </si>
  <si>
    <t>хикмат</t>
  </si>
  <si>
    <t>адидас 3 ип</t>
  </si>
  <si>
    <t>Қарздорлар</t>
  </si>
  <si>
    <t>юлдуз</t>
  </si>
  <si>
    <t>беарс</t>
  </si>
  <si>
    <t>очки шапка 3 ип</t>
  </si>
  <si>
    <t>а</t>
  </si>
  <si>
    <t>адидас</t>
  </si>
  <si>
    <t>замокли</t>
  </si>
  <si>
    <t>куртка панда</t>
  </si>
  <si>
    <t>тукима куртка</t>
  </si>
  <si>
    <t>катак двойка</t>
  </si>
  <si>
    <t>катак тройка</t>
  </si>
  <si>
    <t>2500000 сум айирилганда</t>
  </si>
  <si>
    <t>қолди</t>
  </si>
  <si>
    <t>махровий</t>
  </si>
  <si>
    <t>микки 3 ип</t>
  </si>
  <si>
    <t>айиқ даойка 2 ип</t>
  </si>
  <si>
    <t>замок двойка 2 ип</t>
  </si>
  <si>
    <t>кучук тройка 2 ип</t>
  </si>
  <si>
    <t>очки шапка полестр</t>
  </si>
  <si>
    <t>бантик 2 ип</t>
  </si>
  <si>
    <t>тигр 3 ип</t>
  </si>
  <si>
    <t>сайл 3 ип</t>
  </si>
  <si>
    <t>смайлик футболка</t>
  </si>
  <si>
    <t>лоок полестр</t>
  </si>
  <si>
    <t>сайл полестр</t>
  </si>
  <si>
    <t>очки шапка пол.</t>
  </si>
  <si>
    <t>21дан 29 гача</t>
  </si>
  <si>
    <t>*</t>
  </si>
  <si>
    <t>биг деар</t>
  </si>
  <si>
    <t>биг деар 3д</t>
  </si>
  <si>
    <t>кучук полестр</t>
  </si>
  <si>
    <t>янги тигр полестр</t>
  </si>
  <si>
    <t>қиз смайлик</t>
  </si>
  <si>
    <t>янги тигр пол.</t>
  </si>
  <si>
    <t>қиз смайлик пол.</t>
  </si>
  <si>
    <t>кучук пирпир пол.</t>
  </si>
  <si>
    <t>х</t>
  </si>
  <si>
    <t>сайл вешилка</t>
  </si>
  <si>
    <t xml:space="preserve">     Остатка сумма Бозорда</t>
  </si>
  <si>
    <t>курс</t>
  </si>
  <si>
    <t>хелло тройка</t>
  </si>
  <si>
    <t>катак кўйлак</t>
  </si>
  <si>
    <t>горох кўйлак</t>
  </si>
  <si>
    <t>гул шимли</t>
  </si>
  <si>
    <t>кўйлак горох</t>
  </si>
  <si>
    <t>кўйлак вилливет</t>
  </si>
  <si>
    <t>зафар</t>
  </si>
  <si>
    <t>виливет кўйлак</t>
  </si>
  <si>
    <t>улугбек</t>
  </si>
  <si>
    <t>кўйлак тугмали</t>
  </si>
  <si>
    <t>ўйинчокли двойка</t>
  </si>
  <si>
    <t>кўйлак тугма</t>
  </si>
  <si>
    <t>ўйинчоқ двойка</t>
  </si>
  <si>
    <t>сайл футболка</t>
  </si>
  <si>
    <t>айиқ капалак</t>
  </si>
  <si>
    <t>крокадил двойка</t>
  </si>
  <si>
    <t>Айиқ капалак</t>
  </si>
  <si>
    <t>Крокадил двойка</t>
  </si>
  <si>
    <t>Х</t>
  </si>
  <si>
    <t>Мам дад ўйинчоқ</t>
  </si>
  <si>
    <t>Прихо</t>
  </si>
  <si>
    <t>Остатка</t>
  </si>
  <si>
    <t>Сотилган</t>
  </si>
  <si>
    <t>Виливет двойка</t>
  </si>
  <si>
    <t>Карона тройка</t>
  </si>
  <si>
    <t>Карона двойка</t>
  </si>
  <si>
    <t>Бантик возврат</t>
  </si>
  <si>
    <t>Уйдиги сумма</t>
  </si>
  <si>
    <t>Гул кўйлак</t>
  </si>
  <si>
    <t>Кўйлак қулоқ</t>
  </si>
  <si>
    <t>Кўйлак ўйинчоқ</t>
  </si>
  <si>
    <t>Кўйлак полоска қуло</t>
  </si>
  <si>
    <t>Қарз хисоб бўлди</t>
  </si>
  <si>
    <t>Сарафан двойка</t>
  </si>
  <si>
    <t>Кўйлак трусик</t>
  </si>
  <si>
    <t>Дженси</t>
  </si>
  <si>
    <t>Жинси кўйлак</t>
  </si>
  <si>
    <t>Ламка айиқ капалак</t>
  </si>
  <si>
    <t>Ромашка тош</t>
  </si>
  <si>
    <t>Горох кўйлак</t>
  </si>
  <si>
    <t>Тоника мушук</t>
  </si>
  <si>
    <t>Минни микки</t>
  </si>
  <si>
    <t xml:space="preserve">Майка ост </t>
  </si>
  <si>
    <t>Майка шортик</t>
  </si>
  <si>
    <t>Тарвуз кофта</t>
  </si>
  <si>
    <t>Ловет двойка</t>
  </si>
  <si>
    <t>Тройка қуён</t>
  </si>
  <si>
    <t>Крокодил двойка</t>
  </si>
  <si>
    <t>Двойка наклейка</t>
  </si>
  <si>
    <t>Кўйлак труси</t>
  </si>
  <si>
    <t>Смайл двойка</t>
  </si>
  <si>
    <t>Гипюр кўйлак</t>
  </si>
  <si>
    <t>Орео</t>
  </si>
  <si>
    <t>Орео разница</t>
  </si>
  <si>
    <t>Лион трусик</t>
  </si>
  <si>
    <t>Марли кўйлак</t>
  </si>
  <si>
    <t>Жинси разница</t>
  </si>
  <si>
    <t>Чит кўйлак</t>
  </si>
  <si>
    <t>Лион шортик</t>
  </si>
  <si>
    <t>Горох трусик</t>
  </si>
  <si>
    <t>Лямка трусик</t>
  </si>
  <si>
    <t>Гул иштон</t>
  </si>
  <si>
    <t>31/6</t>
  </si>
  <si>
    <t>Тарвуз</t>
  </si>
  <si>
    <t>Обадог</t>
  </si>
  <si>
    <t>Капалак тош</t>
  </si>
  <si>
    <t>Марли куржували</t>
  </si>
  <si>
    <t>Марли гул</t>
  </si>
  <si>
    <t>Гул дони</t>
  </si>
  <si>
    <t>Тигр котта</t>
  </si>
  <si>
    <t>Тигр эски</t>
  </si>
  <si>
    <t>Биг дайл</t>
  </si>
  <si>
    <t>Ўйинчоқ</t>
  </si>
  <si>
    <t>Кучук қиз</t>
  </si>
  <si>
    <t>Динозавр</t>
  </si>
  <si>
    <t>Карона тош</t>
  </si>
  <si>
    <t>Крокодил</t>
  </si>
  <si>
    <t>Ўйинчоқ кўйлак</t>
  </si>
  <si>
    <t>Сарафан</t>
  </si>
  <si>
    <t>Қуло кўйлак</t>
  </si>
  <si>
    <t>Беар мехли</t>
  </si>
  <si>
    <t>Мушук калла</t>
  </si>
  <si>
    <t>Возврат сумма</t>
  </si>
  <si>
    <t>Гул мушук</t>
  </si>
  <si>
    <t>Янги тигр</t>
  </si>
  <si>
    <t>Қиз пир пир</t>
  </si>
  <si>
    <t>Ўйинчоқ двойка</t>
  </si>
  <si>
    <t>Шим двойка</t>
  </si>
  <si>
    <t>Палто сумка</t>
  </si>
  <si>
    <t>Палто катак</t>
  </si>
  <si>
    <t>Двойка чўнтак</t>
  </si>
  <si>
    <t>Тигр полестр</t>
  </si>
  <si>
    <t>Муқаддас опа</t>
  </si>
  <si>
    <t>Лоок ме</t>
  </si>
  <si>
    <t>Мушук гул</t>
  </si>
  <si>
    <t>Беар чўнтак</t>
  </si>
  <si>
    <t>Панда</t>
  </si>
  <si>
    <t>Симба</t>
  </si>
  <si>
    <t>Атлас кўйлак</t>
  </si>
  <si>
    <t>Смайлик</t>
  </si>
  <si>
    <t>Кўйлак</t>
  </si>
  <si>
    <t>Трусик кўйлак</t>
  </si>
  <si>
    <t>Кўйлак куржували</t>
  </si>
  <si>
    <t>Оқ кофта трусикли</t>
  </si>
  <si>
    <t>Воз. Қалин</t>
  </si>
  <si>
    <t>Ўғил кўйлак</t>
  </si>
  <si>
    <t>Жинси шўртик</t>
  </si>
  <si>
    <t>Пайме 600000</t>
  </si>
  <si>
    <t>Муқбира</t>
  </si>
  <si>
    <t>Лион гулли</t>
  </si>
  <si>
    <t>Тройка қиз</t>
  </si>
  <si>
    <t>Қиз тройка</t>
  </si>
  <si>
    <t>Симба лайкра</t>
  </si>
  <si>
    <t>Топик гулли</t>
  </si>
  <si>
    <t>Улуғбек</t>
  </si>
  <si>
    <t>София</t>
  </si>
  <si>
    <t>Бобур</t>
  </si>
  <si>
    <t>Панда полестр</t>
  </si>
  <si>
    <t>Беар полестр</t>
  </si>
  <si>
    <t>Спортивка</t>
  </si>
  <si>
    <t>Айиқ полоска</t>
  </si>
  <si>
    <t>Симба полестр</t>
  </si>
  <si>
    <t>Зафар жиян</t>
  </si>
  <si>
    <t>Возврат ёзги</t>
  </si>
  <si>
    <t>Мушук қиз</t>
  </si>
  <si>
    <t>Гуччи двойка</t>
  </si>
  <si>
    <t>Янги двойка</t>
  </si>
  <si>
    <t>Адидас спортивка</t>
  </si>
  <si>
    <t>Вил айиқ қиз</t>
  </si>
  <si>
    <t>Вил тигр ўғил</t>
  </si>
  <si>
    <t>Вил ромашка қиз</t>
  </si>
  <si>
    <t>Вил қиз ромашка</t>
  </si>
  <si>
    <t>Вил ромашка</t>
  </si>
  <si>
    <t>Бамбук микки</t>
  </si>
  <si>
    <t>Беар қалин</t>
  </si>
  <si>
    <t>Барби кашмир</t>
  </si>
  <si>
    <t>Двойва луис виттон</t>
  </si>
  <si>
    <t>Возврат</t>
  </si>
  <si>
    <t>Мини мода кашмир</t>
  </si>
  <si>
    <t>Ўғил қиз беар</t>
  </si>
  <si>
    <t>Печат капишон</t>
  </si>
  <si>
    <t>Печат без капишон</t>
  </si>
  <si>
    <t>Мишка қалин</t>
  </si>
  <si>
    <t>Ехплоре</t>
  </si>
  <si>
    <t>Бамбук қалин</t>
  </si>
  <si>
    <t>Тройка мишка</t>
  </si>
  <si>
    <t>Дв дракон</t>
  </si>
  <si>
    <t>Тр дракон</t>
  </si>
  <si>
    <t>Тр вафли</t>
  </si>
  <si>
    <t>Винни пух</t>
  </si>
  <si>
    <t>Дв почка</t>
  </si>
  <si>
    <t>Динозавр тройка</t>
  </si>
  <si>
    <t>Водаласка двойка</t>
  </si>
  <si>
    <t>Винни пух почка</t>
  </si>
  <si>
    <t>Винни пух кашмир</t>
  </si>
  <si>
    <t>Қуен тройка</t>
  </si>
  <si>
    <t>Мишка тройка хб</t>
  </si>
  <si>
    <t>Мишка тр қалин</t>
  </si>
  <si>
    <t>Панда хб</t>
  </si>
  <si>
    <t>Кўйлак ободог</t>
  </si>
  <si>
    <t>Тр мишка енги</t>
  </si>
  <si>
    <t>Адидас двойка</t>
  </si>
  <si>
    <t>Қиз лв</t>
  </si>
  <si>
    <t>Полоска полестр</t>
  </si>
  <si>
    <t>Тр полоска чўнтак</t>
  </si>
  <si>
    <t xml:space="preserve">Стар </t>
  </si>
  <si>
    <t>Волд</t>
  </si>
  <si>
    <t>Двойка свитр</t>
  </si>
  <si>
    <t>Юпқа стар</t>
  </si>
  <si>
    <t xml:space="preserve">Об.бозорга берилган махсулот </t>
  </si>
  <si>
    <t>Об. Олинган кассалар</t>
  </si>
  <si>
    <t>Соол голд тройка</t>
  </si>
  <si>
    <t>Янги микки</t>
  </si>
  <si>
    <t>Қиз ободог труси</t>
  </si>
  <si>
    <t>Лион тройка</t>
  </si>
  <si>
    <t>Динозавр иштон</t>
  </si>
  <si>
    <t>Лондон двойка</t>
  </si>
  <si>
    <t>Кофта юбка</t>
  </si>
  <si>
    <t>Тройка қиз ободог</t>
  </si>
  <si>
    <t>Лв тройка</t>
  </si>
  <si>
    <t>Лион калта</t>
  </si>
  <si>
    <t>Возврат бахорги</t>
  </si>
  <si>
    <t>Самара</t>
  </si>
  <si>
    <t>Ободог тройка</t>
  </si>
  <si>
    <t>Муслим тройка</t>
  </si>
  <si>
    <t>Двойка Муслим</t>
  </si>
  <si>
    <t>Тройка Муслим</t>
  </si>
  <si>
    <t>Муслим қиз</t>
  </si>
  <si>
    <t>Ламка двойка</t>
  </si>
  <si>
    <t>Кўйлак полоска</t>
  </si>
  <si>
    <t>Лямка двойка</t>
  </si>
  <si>
    <t>Муслим ўғил</t>
  </si>
  <si>
    <t>Лион двойка лондон</t>
  </si>
  <si>
    <t>Динозавр двойка</t>
  </si>
  <si>
    <t>Полоска тройка лион</t>
  </si>
  <si>
    <t>Тройка труси</t>
  </si>
  <si>
    <t>Ғижим лион</t>
  </si>
  <si>
    <t>Капишон муслим</t>
  </si>
  <si>
    <t>Қиз жинси ободог</t>
  </si>
  <si>
    <t>Кўйлак шортик барг</t>
  </si>
  <si>
    <t>Тройка бухоро</t>
  </si>
  <si>
    <t>Барг двойка</t>
  </si>
  <si>
    <t>Ободог жинси</t>
  </si>
  <si>
    <t>Жадка двойка</t>
  </si>
  <si>
    <t>Муслим гипюр</t>
  </si>
  <si>
    <t>Катак бухоро</t>
  </si>
  <si>
    <t>Енги двойка</t>
  </si>
  <si>
    <t>Овакадо модел</t>
  </si>
  <si>
    <t>Тр катак марли</t>
  </si>
  <si>
    <t>Скидка</t>
  </si>
  <si>
    <t>Илхом</t>
  </si>
  <si>
    <t>Горох двойка</t>
  </si>
  <si>
    <t>Енги тройка</t>
  </si>
  <si>
    <t>Гипюр мус</t>
  </si>
  <si>
    <t>Гулли двойка</t>
  </si>
  <si>
    <t>Енги горох</t>
  </si>
  <si>
    <t>Двойка майка</t>
  </si>
  <si>
    <t>Труси енги қулупне</t>
  </si>
  <si>
    <t>Енги ўғил</t>
  </si>
  <si>
    <t>Бухоро</t>
  </si>
  <si>
    <t>Двойка муслин</t>
  </si>
  <si>
    <t>Горох</t>
  </si>
  <si>
    <t xml:space="preserve">Трусили </t>
  </si>
  <si>
    <t>Горох лямка</t>
  </si>
  <si>
    <t>Қиз гул</t>
  </si>
  <si>
    <t>Двойка микки</t>
  </si>
  <si>
    <t>Тройка микки</t>
  </si>
  <si>
    <t>Стар двойка</t>
  </si>
  <si>
    <t>Юлдуз тройка</t>
  </si>
  <si>
    <t>Тройка қуен</t>
  </si>
  <si>
    <t>Воолд</t>
  </si>
  <si>
    <t>Полоска айиқ</t>
  </si>
  <si>
    <t>Айиқ двойка</t>
  </si>
  <si>
    <t>Панда двойка полоска</t>
  </si>
  <si>
    <t>Тройка динозавр</t>
  </si>
  <si>
    <t>Тройка ромбик</t>
  </si>
  <si>
    <t>Бухоро вил нимча</t>
  </si>
  <si>
    <t>Бухоро вил шимли</t>
  </si>
  <si>
    <t>Тройка айиқ</t>
  </si>
  <si>
    <t>Ёзгила</t>
  </si>
  <si>
    <t>Тройка лапша</t>
  </si>
  <si>
    <t>Нимча плашевка</t>
  </si>
  <si>
    <t>Двойка мишка 3 д</t>
  </si>
  <si>
    <t>Тоника кўйлак</t>
  </si>
  <si>
    <t>Тройка қиммати</t>
  </si>
  <si>
    <t>Нимча қиммати</t>
  </si>
  <si>
    <t>Беар комплект</t>
  </si>
  <si>
    <t>Тоника ободог</t>
  </si>
  <si>
    <t>Полестр</t>
  </si>
  <si>
    <t>Двойка виливет</t>
  </si>
  <si>
    <t>Тройка ромашка</t>
  </si>
  <si>
    <t>Тройка Микки тош</t>
  </si>
  <si>
    <t>Адидас</t>
  </si>
  <si>
    <t>Микки бамбук</t>
  </si>
  <si>
    <t>Разница</t>
  </si>
  <si>
    <t>Микки двойка</t>
  </si>
  <si>
    <t>Остаткалар</t>
  </si>
  <si>
    <t>Тройка Ўйинчоқ каш</t>
  </si>
  <si>
    <t>Тройка Мишка</t>
  </si>
  <si>
    <t>Тройка Болеро</t>
  </si>
  <si>
    <t>Нимча арзони</t>
  </si>
  <si>
    <t>Тройка қалин</t>
  </si>
  <si>
    <t>Тройка Ўйинчоқ кашмир</t>
  </si>
  <si>
    <t>Тройка қуен кашмир</t>
  </si>
  <si>
    <t>Тройка Ромашка болеро</t>
  </si>
  <si>
    <t>Двойка мишка қуен</t>
  </si>
  <si>
    <t>Двойка капишон</t>
  </si>
  <si>
    <t>Ромашка Қалин</t>
  </si>
  <si>
    <t>Ромашка Нимча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</si>
</sst>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dd/mm/yy;@"/>
    <numFmt numFmtId="166" formatCode="0.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7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/>
    <xf numFmtId="3" fontId="0" fillId="0" borderId="0" xfId="0" applyNumberFormat="1"/>
    <xf numFmtId="3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1" fillId="6" borderId="0" xfId="0" applyFont="1" applyFill="1"/>
    <xf numFmtId="164" fontId="1" fillId="6" borderId="0" xfId="0" applyNumberFormat="1" applyFont="1" applyFill="1"/>
    <xf numFmtId="165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3" xfId="0" applyNumberFormat="1" applyFont="1" applyBorder="1"/>
    <xf numFmtId="164" fontId="0" fillId="0" borderId="4" xfId="0" applyNumberFormat="1" applyBorder="1"/>
    <xf numFmtId="164" fontId="2" fillId="0" borderId="0" xfId="0" applyNumberFormat="1" applyFont="1"/>
    <xf numFmtId="0" fontId="3" fillId="0" borderId="0" xfId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14" fontId="0" fillId="0" borderId="3" xfId="0" applyNumberFormat="1" applyBorder="1"/>
    <xf numFmtId="3" fontId="0" fillId="0" borderId="4" xfId="0" applyNumberFormat="1" applyBorder="1"/>
    <xf numFmtId="0" fontId="1" fillId="0" borderId="8" xfId="0" applyFont="1" applyBorder="1"/>
    <xf numFmtId="0" fontId="4" fillId="6" borderId="5" xfId="0" applyFont="1" applyFill="1" applyBorder="1"/>
    <xf numFmtId="3" fontId="4" fillId="6" borderId="7" xfId="0" applyNumberFormat="1" applyFont="1" applyFill="1" applyBorder="1"/>
    <xf numFmtId="0" fontId="1" fillId="6" borderId="5" xfId="0" applyFont="1" applyFill="1" applyBorder="1"/>
    <xf numFmtId="164" fontId="1" fillId="6" borderId="7" xfId="0" applyNumberFormat="1" applyFont="1" applyFill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6" fontId="0" fillId="0" borderId="0" xfId="0" applyNumberFormat="1"/>
    <xf numFmtId="1" fontId="0" fillId="0" borderId="0" xfId="0" applyNumberFormat="1" applyAlignment="1">
      <alignment horizontal="center"/>
    </xf>
    <xf numFmtId="16" fontId="0" fillId="0" borderId="3" xfId="0" applyNumberFormat="1" applyBorder="1"/>
    <xf numFmtId="14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3" fontId="0" fillId="6" borderId="0" xfId="0" applyNumberFormat="1" applyFill="1" applyAlignment="1">
      <alignment horizontal="center"/>
    </xf>
    <xf numFmtId="0" fontId="2" fillId="0" borderId="0" xfId="0" applyFont="1"/>
    <xf numFmtId="3" fontId="0" fillId="5" borderId="0" xfId="0" applyNumberFormat="1" applyFill="1"/>
    <xf numFmtId="164" fontId="0" fillId="6" borderId="0" xfId="0" applyNumberFormat="1" applyFill="1"/>
    <xf numFmtId="3" fontId="0" fillId="6" borderId="0" xfId="0" applyNumberFormat="1" applyFill="1"/>
    <xf numFmtId="0" fontId="0" fillId="7" borderId="5" xfId="0" applyFill="1" applyBorder="1"/>
    <xf numFmtId="164" fontId="0" fillId="7" borderId="7" xfId="0" applyNumberFormat="1" applyFill="1" applyBorder="1"/>
    <xf numFmtId="166" fontId="0" fillId="0" borderId="4" xfId="0" applyNumberFormat="1" applyBorder="1"/>
    <xf numFmtId="0" fontId="0" fillId="8" borderId="0" xfId="0" applyFill="1"/>
    <xf numFmtId="164" fontId="0" fillId="8" borderId="0" xfId="0" applyNumberFormat="1" applyFill="1"/>
    <xf numFmtId="1" fontId="0" fillId="8" borderId="0" xfId="0" applyNumberFormat="1" applyFill="1"/>
    <xf numFmtId="164" fontId="2" fillId="6" borderId="0" xfId="0" applyNumberFormat="1" applyFont="1" applyFill="1"/>
    <xf numFmtId="0" fontId="2" fillId="5" borderId="0" xfId="0" applyFont="1" applyFill="1"/>
    <xf numFmtId="0" fontId="0" fillId="9" borderId="0" xfId="0" applyFill="1"/>
    <xf numFmtId="0" fontId="2" fillId="9" borderId="0" xfId="0" applyFont="1" applyFill="1"/>
    <xf numFmtId="3" fontId="0" fillId="9" borderId="0" xfId="0" applyNumberFormat="1" applyFill="1"/>
    <xf numFmtId="0" fontId="2" fillId="10" borderId="0" xfId="0" applyFont="1" applyFill="1"/>
    <xf numFmtId="0" fontId="0" fillId="10" borderId="0" xfId="0" applyFill="1"/>
    <xf numFmtId="164" fontId="0" fillId="0" borderId="0" xfId="0" applyNumberFormat="1" applyAlignment="1">
      <alignment horizontal="center"/>
    </xf>
    <xf numFmtId="0" fontId="0" fillId="11" borderId="11" xfId="0" applyFill="1" applyBorder="1"/>
    <xf numFmtId="1" fontId="0" fillId="11" borderId="11" xfId="0" applyNumberFormat="1" applyFill="1" applyBorder="1"/>
    <xf numFmtId="164" fontId="0" fillId="11" borderId="2" xfId="0" applyNumberFormat="1" applyFill="1" applyBorder="1"/>
    <xf numFmtId="0" fontId="0" fillId="11" borderId="12" xfId="0" applyFill="1" applyBorder="1"/>
    <xf numFmtId="0" fontId="0" fillId="11" borderId="13" xfId="0" applyFill="1" applyBorder="1"/>
    <xf numFmtId="164" fontId="0" fillId="11" borderId="14" xfId="0" applyNumberFormat="1" applyFill="1" applyBorder="1"/>
    <xf numFmtId="0" fontId="0" fillId="11" borderId="15" xfId="0" applyFill="1" applyBorder="1"/>
    <xf numFmtId="164" fontId="0" fillId="11" borderId="16" xfId="0" applyNumberFormat="1" applyFill="1" applyBorder="1"/>
    <xf numFmtId="0" fontId="3" fillId="11" borderId="15" xfId="1" applyFill="1" applyBorder="1"/>
    <xf numFmtId="0" fontId="0" fillId="11" borderId="17" xfId="0" applyFill="1" applyBorder="1"/>
    <xf numFmtId="0" fontId="0" fillId="11" borderId="18" xfId="0" applyFill="1" applyBorder="1"/>
    <xf numFmtId="164" fontId="0" fillId="11" borderId="19" xfId="0" applyNumberFormat="1" applyFill="1" applyBorder="1"/>
    <xf numFmtId="0" fontId="0" fillId="8" borderId="9" xfId="0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14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14" fontId="0" fillId="6" borderId="3" xfId="0" applyNumberFormat="1" applyFill="1" applyBorder="1"/>
    <xf numFmtId="3" fontId="0" fillId="6" borderId="4" xfId="0" applyNumberFormat="1" applyFill="1" applyBorder="1"/>
    <xf numFmtId="0" fontId="0" fillId="12" borderId="7" xfId="0" applyFill="1" applyBorder="1" applyAlignment="1">
      <alignment horizontal="center"/>
    </xf>
    <xf numFmtId="0" fontId="1" fillId="12" borderId="5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1" fillId="6" borderId="9" xfId="0" applyFont="1" applyFill="1" applyBorder="1"/>
    <xf numFmtId="164" fontId="1" fillId="6" borderId="10" xfId="0" applyNumberFormat="1" applyFont="1" applyFill="1" applyBorder="1"/>
    <xf numFmtId="0" fontId="7" fillId="0" borderId="0" xfId="0" applyFont="1"/>
    <xf numFmtId="16" fontId="0" fillId="6" borderId="3" xfId="0" applyNumberFormat="1" applyFill="1" applyBorder="1"/>
    <xf numFmtId="164" fontId="0" fillId="6" borderId="4" xfId="0" applyNumberFormat="1" applyFill="1" applyBorder="1"/>
    <xf numFmtId="164" fontId="0" fillId="0" borderId="0" xfId="0" applyNumberFormat="1" applyAlignment="1">
      <alignment horizontal="center" vertical="center"/>
    </xf>
    <xf numFmtId="43" fontId="0" fillId="0" borderId="0" xfId="0" applyNumberFormat="1"/>
    <xf numFmtId="164" fontId="0" fillId="0" borderId="0" xfId="0" applyNumberFormat="1" applyAlignment="1">
      <alignment vertical="center"/>
    </xf>
    <xf numFmtId="14" fontId="0" fillId="11" borderId="0" xfId="0" applyNumberFormat="1" applyFill="1"/>
    <xf numFmtId="0" fontId="0" fillId="11" borderId="0" xfId="0" applyFill="1"/>
    <xf numFmtId="0" fontId="0" fillId="11" borderId="0" xfId="0" applyFill="1" applyAlignment="1">
      <alignment horizontal="center" vertical="center"/>
    </xf>
    <xf numFmtId="3" fontId="0" fillId="11" borderId="0" xfId="0" applyNumberFormat="1" applyFill="1" applyAlignment="1">
      <alignment horizontal="center"/>
    </xf>
    <xf numFmtId="14" fontId="0" fillId="13" borderId="0" xfId="0" applyNumberFormat="1" applyFill="1"/>
    <xf numFmtId="0" fontId="0" fillId="13" borderId="0" xfId="0" applyFill="1"/>
    <xf numFmtId="0" fontId="0" fillId="13" borderId="0" xfId="0" applyFill="1" applyAlignment="1">
      <alignment horizontal="center" vertical="center"/>
    </xf>
    <xf numFmtId="3" fontId="0" fillId="13" borderId="0" xfId="0" applyNumberForma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3" fontId="1" fillId="12" borderId="3" xfId="0" applyNumberFormat="1" applyFont="1" applyFill="1" applyBorder="1" applyAlignment="1">
      <alignment horizontal="center"/>
    </xf>
    <xf numFmtId="3" fontId="1" fillId="12" borderId="4" xfId="0" applyNumberFormat="1" applyFont="1" applyFill="1" applyBorder="1" applyAlignment="1">
      <alignment horizontal="center"/>
    </xf>
    <xf numFmtId="164" fontId="6" fillId="12" borderId="9" xfId="0" applyNumberFormat="1" applyFont="1" applyFill="1" applyBorder="1" applyAlignment="1">
      <alignment horizontal="center" vertical="center"/>
    </xf>
    <xf numFmtId="164" fontId="6" fillId="12" borderId="10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3" fontId="1" fillId="0" borderId="9" xfId="0" applyNumberFormat="1" applyFont="1" applyBorder="1" applyAlignment="1">
      <alignment horizontal="center"/>
    </xf>
    <xf numFmtId="3" fontId="1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68AA-ABD3-2049-82E4-2CC743F246DB}">
  <dimension ref="A1:K200"/>
  <sheetViews>
    <sheetView tabSelected="1" zoomScaleNormal="100" zoomScaleSheetLayoutView="100" workbookViewId="0">
      <selection activeCell="A8" sqref="A8"/>
    </sheetView>
  </sheetViews>
  <sheetFormatPr defaultRowHeight="15" x14ac:dyDescent="0.25"/>
  <cols>
    <col min="1" max="1" width="10.7109375" bestFit="1" customWidth="1"/>
    <col min="2" max="2" width="18.5703125" customWidth="1"/>
    <col min="3" max="3" width="8.7109375" style="22" bestFit="1" customWidth="1"/>
    <col min="4" max="4" width="11.28515625" style="20" bestFit="1" customWidth="1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'Сентябр 2024'!I3</f>
        <v>22230000</v>
      </c>
      <c r="F3" s="26">
        <v>45566</v>
      </c>
      <c r="G3" s="27">
        <f>10800000+6250000</f>
        <v>17050000</v>
      </c>
      <c r="I3" s="110">
        <f>E199-G199</f>
        <v>74832000</v>
      </c>
      <c r="J3" s="111"/>
    </row>
    <row r="4" spans="1:11" x14ac:dyDescent="0.25">
      <c r="A4" s="21">
        <v>45566</v>
      </c>
      <c r="B4" t="s">
        <v>392</v>
      </c>
      <c r="C4" s="22">
        <v>96</v>
      </c>
      <c r="D4" s="23">
        <v>60000</v>
      </c>
      <c r="E4" s="23">
        <f>C4*D4</f>
        <v>5760000</v>
      </c>
      <c r="F4" s="26">
        <v>45567</v>
      </c>
      <c r="G4" s="27">
        <f>11000000+1800000</f>
        <v>12800000</v>
      </c>
      <c r="I4" s="89" t="s">
        <v>132</v>
      </c>
      <c r="J4" s="90">
        <v>12750</v>
      </c>
    </row>
    <row r="5" spans="1:11" ht="15.75" thickBot="1" x14ac:dyDescent="0.3">
      <c r="A5" s="21"/>
      <c r="B5" t="s">
        <v>383</v>
      </c>
      <c r="C5" s="22">
        <v>126</v>
      </c>
      <c r="D5" s="23">
        <v>60000</v>
      </c>
      <c r="E5" s="23">
        <f t="shared" ref="E5:E49" si="0">C5*D5</f>
        <v>7560000</v>
      </c>
      <c r="F5" s="26">
        <v>45568</v>
      </c>
      <c r="G5" s="27">
        <v>17920000</v>
      </c>
      <c r="H5" t="s">
        <v>387</v>
      </c>
      <c r="I5" s="112">
        <f>I3/J4</f>
        <v>5869.1764705882351</v>
      </c>
      <c r="J5" s="113"/>
    </row>
    <row r="6" spans="1:11" ht="15.75" thickBot="1" x14ac:dyDescent="0.3">
      <c r="A6" s="21">
        <v>45567</v>
      </c>
      <c r="B6" t="s">
        <v>392</v>
      </c>
      <c r="C6" s="22">
        <v>58</v>
      </c>
      <c r="D6" s="23">
        <v>60000</v>
      </c>
      <c r="E6" s="23">
        <f t="shared" si="0"/>
        <v>3480000</v>
      </c>
      <c r="F6" s="26">
        <v>45569</v>
      </c>
      <c r="G6" s="27">
        <v>7700000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/>
      <c r="B7" t="s">
        <v>383</v>
      </c>
      <c r="C7" s="22">
        <v>44</v>
      </c>
      <c r="D7" s="23">
        <v>60000</v>
      </c>
      <c r="E7" s="23">
        <f t="shared" si="0"/>
        <v>2640000</v>
      </c>
      <c r="F7" s="26">
        <v>45570</v>
      </c>
      <c r="G7" s="27">
        <v>9200000</v>
      </c>
    </row>
    <row r="8" spans="1:11" ht="15.75" thickBot="1" x14ac:dyDescent="0.3">
      <c r="A8" s="21"/>
      <c r="B8" t="s">
        <v>390</v>
      </c>
      <c r="C8" s="22">
        <v>84</v>
      </c>
      <c r="D8" s="23">
        <v>72000</v>
      </c>
      <c r="E8" s="23">
        <f t="shared" si="0"/>
        <v>6048000</v>
      </c>
      <c r="F8" s="26">
        <v>45571</v>
      </c>
      <c r="G8" s="27">
        <f>19250000+1500000</f>
        <v>20750000</v>
      </c>
      <c r="I8" s="29" t="s">
        <v>15</v>
      </c>
      <c r="J8" s="30">
        <f>I3-J6</f>
        <v>39456000</v>
      </c>
    </row>
    <row r="9" spans="1:11" x14ac:dyDescent="0.25">
      <c r="A9" s="21"/>
      <c r="B9" t="s">
        <v>378</v>
      </c>
      <c r="C9" s="22">
        <v>74</v>
      </c>
      <c r="D9" s="23">
        <v>65000</v>
      </c>
      <c r="E9" s="23">
        <f t="shared" si="0"/>
        <v>4810000</v>
      </c>
      <c r="F9" s="26"/>
      <c r="G9" s="27"/>
      <c r="J9" s="7"/>
    </row>
    <row r="10" spans="1:11" ht="15.75" thickBot="1" x14ac:dyDescent="0.3">
      <c r="A10" s="43"/>
      <c r="B10" t="s">
        <v>391</v>
      </c>
      <c r="C10" s="22">
        <v>92</v>
      </c>
      <c r="D10" s="20">
        <v>67000</v>
      </c>
      <c r="E10" s="23">
        <f t="shared" si="0"/>
        <v>6164000</v>
      </c>
      <c r="F10" s="26"/>
      <c r="G10" s="27"/>
    </row>
    <row r="11" spans="1:11" ht="15.75" thickBot="1" x14ac:dyDescent="0.3">
      <c r="A11" s="21">
        <v>45568</v>
      </c>
      <c r="B11" t="s">
        <v>390</v>
      </c>
      <c r="C11" s="22">
        <v>32</v>
      </c>
      <c r="D11" s="23">
        <v>72000</v>
      </c>
      <c r="E11" s="23">
        <f t="shared" si="0"/>
        <v>2304000</v>
      </c>
      <c r="F11" s="26"/>
      <c r="G11" s="27"/>
      <c r="I11" s="54" t="s">
        <v>66</v>
      </c>
      <c r="J11" s="55"/>
    </row>
    <row r="12" spans="1:11" x14ac:dyDescent="0.25">
      <c r="A12" s="21"/>
      <c r="B12" t="s">
        <v>383</v>
      </c>
      <c r="C12" s="22">
        <v>128</v>
      </c>
      <c r="D12" s="23">
        <v>60000</v>
      </c>
      <c r="E12" s="23">
        <f t="shared" si="0"/>
        <v>7680000</v>
      </c>
      <c r="F12" s="26"/>
      <c r="G12" s="27"/>
    </row>
    <row r="13" spans="1:11" x14ac:dyDescent="0.25">
      <c r="A13" s="21"/>
      <c r="B13" t="s">
        <v>392</v>
      </c>
      <c r="C13" s="22">
        <v>62</v>
      </c>
      <c r="D13" s="23">
        <v>60000</v>
      </c>
      <c r="E13" s="23">
        <f t="shared" si="0"/>
        <v>3720000</v>
      </c>
      <c r="F13" s="26"/>
      <c r="G13" s="27"/>
    </row>
    <row r="14" spans="1:11" ht="15.75" thickBot="1" x14ac:dyDescent="0.3">
      <c r="A14" s="21">
        <v>45569</v>
      </c>
      <c r="B14" t="s">
        <v>392</v>
      </c>
      <c r="C14" s="22">
        <v>50</v>
      </c>
      <c r="D14" s="23">
        <v>60000</v>
      </c>
      <c r="E14" s="23">
        <f t="shared" si="0"/>
        <v>3000000</v>
      </c>
      <c r="F14" s="26"/>
      <c r="G14" s="27"/>
    </row>
    <row r="15" spans="1:11" x14ac:dyDescent="0.25">
      <c r="A15" s="21"/>
      <c r="B15" t="s">
        <v>390</v>
      </c>
      <c r="C15" s="22">
        <v>18</v>
      </c>
      <c r="D15" s="23">
        <v>72000</v>
      </c>
      <c r="E15" s="23">
        <f t="shared" si="0"/>
        <v>1296000</v>
      </c>
      <c r="F15" s="26"/>
      <c r="G15" s="27"/>
      <c r="I15" s="114"/>
      <c r="J15" s="115"/>
    </row>
    <row r="16" spans="1:11" ht="15.75" thickBot="1" x14ac:dyDescent="0.3">
      <c r="A16" s="21"/>
      <c r="B16" t="s">
        <v>383</v>
      </c>
      <c r="C16" s="22">
        <v>62</v>
      </c>
      <c r="D16" s="23">
        <v>60000</v>
      </c>
      <c r="E16" s="23">
        <f t="shared" si="0"/>
        <v>3720000</v>
      </c>
      <c r="F16" s="26"/>
      <c r="G16" s="27"/>
      <c r="I16" s="80"/>
      <c r="J16" s="81"/>
    </row>
    <row r="17" spans="1:7" x14ac:dyDescent="0.25">
      <c r="A17" s="21"/>
      <c r="B17" t="s">
        <v>390</v>
      </c>
      <c r="C17" s="22">
        <v>32</v>
      </c>
      <c r="D17" s="23">
        <v>72000</v>
      </c>
      <c r="E17" s="23">
        <f t="shared" si="0"/>
        <v>2304000</v>
      </c>
      <c r="F17" s="26"/>
      <c r="G17" s="27"/>
    </row>
    <row r="18" spans="1:7" x14ac:dyDescent="0.25">
      <c r="A18" s="21"/>
      <c r="B18" t="s">
        <v>391</v>
      </c>
      <c r="C18" s="22">
        <v>108</v>
      </c>
      <c r="D18" s="23">
        <v>67000</v>
      </c>
      <c r="E18" s="23">
        <f t="shared" si="0"/>
        <v>7236000</v>
      </c>
      <c r="F18" s="26"/>
      <c r="G18" s="27"/>
    </row>
    <row r="19" spans="1:7" x14ac:dyDescent="0.25">
      <c r="A19" s="21"/>
      <c r="B19" t="s">
        <v>383</v>
      </c>
      <c r="C19" s="22">
        <v>118</v>
      </c>
      <c r="D19" s="23">
        <v>60000</v>
      </c>
      <c r="E19" s="23">
        <f t="shared" si="0"/>
        <v>7080000</v>
      </c>
      <c r="F19" s="45"/>
      <c r="G19" s="17"/>
    </row>
    <row r="20" spans="1:7" x14ac:dyDescent="0.25">
      <c r="A20" s="43">
        <v>45571</v>
      </c>
      <c r="B20" t="s">
        <v>392</v>
      </c>
      <c r="C20" s="22">
        <v>130</v>
      </c>
      <c r="D20" s="20">
        <v>60000</v>
      </c>
      <c r="E20" s="23">
        <f t="shared" si="0"/>
        <v>7800000</v>
      </c>
      <c r="F20" s="26"/>
      <c r="G20" s="27"/>
    </row>
    <row r="21" spans="1:7" x14ac:dyDescent="0.25">
      <c r="A21" s="21"/>
      <c r="B21" t="s">
        <v>390</v>
      </c>
      <c r="C21" s="22">
        <v>72</v>
      </c>
      <c r="D21" s="23">
        <v>72000</v>
      </c>
      <c r="E21" s="23">
        <f t="shared" si="0"/>
        <v>5184000</v>
      </c>
      <c r="F21" s="26"/>
      <c r="G21" s="27"/>
    </row>
    <row r="22" spans="1:7" x14ac:dyDescent="0.25">
      <c r="A22" s="21"/>
      <c r="B22" t="s">
        <v>396</v>
      </c>
      <c r="C22" s="22">
        <v>124</v>
      </c>
      <c r="D22" s="23">
        <v>75000</v>
      </c>
      <c r="E22" s="23">
        <f t="shared" si="0"/>
        <v>9300000</v>
      </c>
      <c r="F22" s="26"/>
      <c r="G22" s="27"/>
    </row>
    <row r="23" spans="1:7" x14ac:dyDescent="0.25">
      <c r="A23" s="21">
        <v>45573</v>
      </c>
      <c r="B23" t="s">
        <v>398</v>
      </c>
      <c r="C23" s="22">
        <v>36</v>
      </c>
      <c r="D23" s="23">
        <v>63000</v>
      </c>
      <c r="E23" s="23">
        <f t="shared" si="0"/>
        <v>2268000</v>
      </c>
      <c r="F23" s="26"/>
      <c r="G23" s="27"/>
    </row>
    <row r="24" spans="1:7" x14ac:dyDescent="0.25">
      <c r="A24" s="21"/>
      <c r="B24" t="s">
        <v>392</v>
      </c>
      <c r="C24" s="22">
        <v>24</v>
      </c>
      <c r="D24" s="23">
        <v>60000</v>
      </c>
      <c r="E24" s="23">
        <f t="shared" si="0"/>
        <v>1440000</v>
      </c>
      <c r="F24" s="26"/>
      <c r="G24" s="27"/>
    </row>
    <row r="25" spans="1:7" x14ac:dyDescent="0.25">
      <c r="A25" s="21"/>
      <c r="B25" t="s">
        <v>399</v>
      </c>
      <c r="C25" s="22">
        <v>32</v>
      </c>
      <c r="D25" s="23">
        <v>62000</v>
      </c>
      <c r="E25" s="23">
        <f t="shared" si="0"/>
        <v>1984000</v>
      </c>
      <c r="F25" s="26"/>
      <c r="G25" s="27"/>
    </row>
    <row r="26" spans="1:7" x14ac:dyDescent="0.25">
      <c r="A26" s="21"/>
      <c r="B26" t="s">
        <v>400</v>
      </c>
      <c r="C26" s="22">
        <v>48</v>
      </c>
      <c r="D26" s="23">
        <v>65000</v>
      </c>
      <c r="E26" s="23">
        <f t="shared" si="0"/>
        <v>3120000</v>
      </c>
      <c r="F26" s="26"/>
      <c r="G26" s="27"/>
    </row>
    <row r="27" spans="1:7" x14ac:dyDescent="0.25">
      <c r="A27" s="21"/>
      <c r="B27" t="s">
        <v>396</v>
      </c>
      <c r="C27" s="22">
        <v>50</v>
      </c>
      <c r="D27" s="23">
        <v>75000</v>
      </c>
      <c r="E27" s="23">
        <f t="shared" si="0"/>
        <v>3750000</v>
      </c>
      <c r="F27" s="26"/>
      <c r="G27" s="27"/>
    </row>
    <row r="28" spans="1:7" x14ac:dyDescent="0.25">
      <c r="A28" s="21">
        <v>45574</v>
      </c>
      <c r="B28" t="s">
        <v>401</v>
      </c>
      <c r="C28" s="22">
        <v>62</v>
      </c>
      <c r="D28" s="23">
        <v>75000</v>
      </c>
      <c r="E28" s="23">
        <f t="shared" si="0"/>
        <v>4650000</v>
      </c>
      <c r="F28" s="45"/>
      <c r="G28" s="17"/>
    </row>
    <row r="29" spans="1:7" x14ac:dyDescent="0.25">
      <c r="A29" s="21"/>
      <c r="B29" t="s">
        <v>398</v>
      </c>
      <c r="C29" s="22">
        <v>72</v>
      </c>
      <c r="D29" s="23">
        <v>63000</v>
      </c>
      <c r="E29" s="23">
        <f t="shared" si="0"/>
        <v>4536000</v>
      </c>
      <c r="F29" s="26"/>
      <c r="G29" s="27"/>
    </row>
    <row r="30" spans="1:7" x14ac:dyDescent="0.25">
      <c r="A30" s="21"/>
      <c r="B30" t="s">
        <v>400</v>
      </c>
      <c r="C30" s="22">
        <v>96</v>
      </c>
      <c r="D30" s="23">
        <v>65000</v>
      </c>
      <c r="E30" s="23">
        <f t="shared" si="0"/>
        <v>6240000</v>
      </c>
      <c r="F30" s="26"/>
      <c r="G30" s="27"/>
    </row>
    <row r="31" spans="1:7" x14ac:dyDescent="0.25">
      <c r="A31" s="21">
        <v>45575</v>
      </c>
      <c r="B31" t="s">
        <v>400</v>
      </c>
      <c r="C31" s="22">
        <v>120</v>
      </c>
      <c r="D31" s="23">
        <v>65000</v>
      </c>
      <c r="E31" s="23">
        <f t="shared" si="0"/>
        <v>7800000</v>
      </c>
      <c r="F31" s="85"/>
      <c r="G31" s="86"/>
    </row>
    <row r="32" spans="1:7" x14ac:dyDescent="0.25">
      <c r="A32" s="43"/>
      <c r="B32" t="s">
        <v>401</v>
      </c>
      <c r="C32" s="22">
        <v>16</v>
      </c>
      <c r="D32" s="20">
        <v>75000</v>
      </c>
      <c r="E32" s="23">
        <f t="shared" si="0"/>
        <v>1200000</v>
      </c>
      <c r="F32" s="26"/>
      <c r="G32" s="27"/>
    </row>
    <row r="33" spans="1:7" x14ac:dyDescent="0.25">
      <c r="A33" s="21"/>
      <c r="B33" t="s">
        <v>399</v>
      </c>
      <c r="C33" s="22">
        <v>54</v>
      </c>
      <c r="D33" s="23">
        <v>62000</v>
      </c>
      <c r="E33" s="23">
        <f t="shared" si="0"/>
        <v>3348000</v>
      </c>
      <c r="F33" s="26"/>
      <c r="G33" s="27"/>
    </row>
    <row r="34" spans="1:7" x14ac:dyDescent="0.25">
      <c r="A34" s="21"/>
      <c r="B34" t="s">
        <v>383</v>
      </c>
      <c r="C34" s="22">
        <v>10</v>
      </c>
      <c r="D34" s="23">
        <v>60000</v>
      </c>
      <c r="E34" s="23">
        <f t="shared" si="0"/>
        <v>600000</v>
      </c>
      <c r="F34" s="26"/>
      <c r="G34" s="27"/>
    </row>
    <row r="35" spans="1:7" x14ac:dyDescent="0.25">
      <c r="A35" s="21"/>
      <c r="D35" s="23"/>
      <c r="E35" s="23">
        <f t="shared" si="0"/>
        <v>0</v>
      </c>
      <c r="F35" s="26"/>
      <c r="G35" s="27"/>
    </row>
    <row r="36" spans="1:7" x14ac:dyDescent="0.25">
      <c r="A36" s="21"/>
      <c r="D36" s="23"/>
      <c r="E36" s="23">
        <f t="shared" si="0"/>
        <v>0</v>
      </c>
      <c r="F36" s="26"/>
      <c r="G36" s="27"/>
    </row>
    <row r="37" spans="1:7" x14ac:dyDescent="0.25">
      <c r="A37" s="21"/>
      <c r="D37" s="23"/>
      <c r="E37" s="23">
        <f t="shared" si="0"/>
        <v>0</v>
      </c>
      <c r="F37" s="26"/>
      <c r="G37" s="27"/>
    </row>
    <row r="38" spans="1:7" x14ac:dyDescent="0.25">
      <c r="A38" s="21"/>
      <c r="D38" s="23"/>
      <c r="E38" s="23">
        <f t="shared" si="0"/>
        <v>0</v>
      </c>
      <c r="F38" s="26"/>
      <c r="G38" s="27"/>
    </row>
    <row r="39" spans="1:7" x14ac:dyDescent="0.25">
      <c r="A39" s="21"/>
      <c r="D39" s="23"/>
      <c r="E39" s="23">
        <f t="shared" si="0"/>
        <v>0</v>
      </c>
      <c r="F39" s="26"/>
      <c r="G39" s="27"/>
    </row>
    <row r="40" spans="1:7" x14ac:dyDescent="0.25">
      <c r="A40" s="21"/>
      <c r="D40" s="23"/>
      <c r="E40" s="23">
        <f t="shared" si="0"/>
        <v>0</v>
      </c>
      <c r="F40" s="26"/>
      <c r="G40" s="27"/>
    </row>
    <row r="41" spans="1:7" x14ac:dyDescent="0.25">
      <c r="A41" s="21"/>
      <c r="D41" s="23"/>
      <c r="E41" s="23">
        <f t="shared" si="0"/>
        <v>0</v>
      </c>
      <c r="F41" s="45"/>
      <c r="G41" s="17"/>
    </row>
    <row r="42" spans="1:7" x14ac:dyDescent="0.25">
      <c r="A42" s="21"/>
      <c r="D42" s="23"/>
      <c r="E42" s="23">
        <f t="shared" si="0"/>
        <v>0</v>
      </c>
      <c r="F42" s="26"/>
      <c r="G42" s="27"/>
    </row>
    <row r="43" spans="1:7" x14ac:dyDescent="0.25">
      <c r="A43" s="21"/>
      <c r="D43" s="23"/>
      <c r="E43" s="23">
        <f t="shared" si="0"/>
        <v>0</v>
      </c>
      <c r="F43" s="26"/>
      <c r="G43" s="27"/>
    </row>
    <row r="44" spans="1:7" x14ac:dyDescent="0.25">
      <c r="A44" s="21"/>
      <c r="D44" s="23"/>
      <c r="E44" s="23">
        <f t="shared" si="0"/>
        <v>0</v>
      </c>
      <c r="F44" s="26"/>
      <c r="G44" s="27"/>
    </row>
    <row r="45" spans="1:7" x14ac:dyDescent="0.25">
      <c r="A45" s="21"/>
      <c r="D45" s="23"/>
      <c r="E45" s="23">
        <f t="shared" si="0"/>
        <v>0</v>
      </c>
      <c r="F45" s="85"/>
      <c r="G45" s="86"/>
    </row>
    <row r="46" spans="1:7" x14ac:dyDescent="0.25">
      <c r="A46" s="21"/>
      <c r="D46" s="23"/>
      <c r="E46" s="23">
        <f t="shared" si="0"/>
        <v>0</v>
      </c>
      <c r="F46" s="26"/>
      <c r="G46" s="27"/>
    </row>
    <row r="47" spans="1:7" x14ac:dyDescent="0.25">
      <c r="A47" s="21"/>
      <c r="D47" s="23"/>
      <c r="E47" s="23">
        <f t="shared" si="0"/>
        <v>0</v>
      </c>
      <c r="F47" s="26"/>
      <c r="G47" s="27"/>
    </row>
    <row r="48" spans="1:7" x14ac:dyDescent="0.25">
      <c r="A48" s="21"/>
      <c r="D48" s="23"/>
      <c r="E48" s="23">
        <f t="shared" si="0"/>
        <v>0</v>
      </c>
      <c r="F48" s="26"/>
      <c r="G48" s="27"/>
    </row>
    <row r="49" spans="1:7" x14ac:dyDescent="0.25">
      <c r="A49" s="103"/>
      <c r="B49" s="104"/>
      <c r="D49" s="106"/>
      <c r="E49" s="106">
        <f t="shared" si="0"/>
        <v>0</v>
      </c>
      <c r="F49" s="45"/>
      <c r="G49" s="17"/>
    </row>
    <row r="50" spans="1:7" x14ac:dyDescent="0.25">
      <c r="A50" s="21"/>
      <c r="D50" s="23"/>
      <c r="E50" s="23">
        <f t="shared" ref="E50:E81" si="1">C50*D50</f>
        <v>0</v>
      </c>
      <c r="F50" s="26"/>
      <c r="G50" s="27"/>
    </row>
    <row r="51" spans="1:7" x14ac:dyDescent="0.25">
      <c r="A51" s="21"/>
      <c r="D51" s="23"/>
      <c r="E51" s="23">
        <f t="shared" si="1"/>
        <v>0</v>
      </c>
      <c r="F51" s="85"/>
      <c r="G51" s="86"/>
    </row>
    <row r="52" spans="1:7" x14ac:dyDescent="0.25">
      <c r="A52" s="43"/>
      <c r="D52" s="23"/>
      <c r="E52" s="23">
        <f t="shared" si="1"/>
        <v>0</v>
      </c>
      <c r="F52" s="26"/>
      <c r="G52" s="27"/>
    </row>
    <row r="53" spans="1:7" x14ac:dyDescent="0.25">
      <c r="A53" s="21"/>
      <c r="D53" s="23"/>
      <c r="E53" s="23">
        <f t="shared" si="1"/>
        <v>0</v>
      </c>
      <c r="F53" s="26"/>
      <c r="G53" s="27"/>
    </row>
    <row r="54" spans="1:7" x14ac:dyDescent="0.25">
      <c r="A54" s="21"/>
      <c r="D54" s="23"/>
      <c r="E54" s="23">
        <f t="shared" si="1"/>
        <v>0</v>
      </c>
      <c r="F54" s="26"/>
      <c r="G54" s="27"/>
    </row>
    <row r="55" spans="1:7" x14ac:dyDescent="0.25">
      <c r="A55" s="21"/>
      <c r="D55" s="23"/>
      <c r="E55" s="23">
        <f t="shared" si="1"/>
        <v>0</v>
      </c>
      <c r="F55" s="26"/>
      <c r="G55" s="27"/>
    </row>
    <row r="56" spans="1:7" x14ac:dyDescent="0.25">
      <c r="A56" s="21"/>
      <c r="D56" s="23"/>
      <c r="E56" s="23">
        <f t="shared" si="1"/>
        <v>0</v>
      </c>
      <c r="F56" s="26"/>
      <c r="G56" s="27"/>
    </row>
    <row r="57" spans="1:7" x14ac:dyDescent="0.25">
      <c r="A57" s="21"/>
      <c r="D57" s="23"/>
      <c r="E57" s="23">
        <f t="shared" si="1"/>
        <v>0</v>
      </c>
      <c r="F57" s="94"/>
      <c r="G57" s="95"/>
    </row>
    <row r="58" spans="1:7" x14ac:dyDescent="0.25">
      <c r="A58" s="21"/>
      <c r="D58" s="23"/>
      <c r="E58" s="23">
        <f t="shared" si="1"/>
        <v>0</v>
      </c>
      <c r="F58" s="26"/>
      <c r="G58" s="27"/>
    </row>
    <row r="59" spans="1:7" x14ac:dyDescent="0.25">
      <c r="A59" s="21"/>
      <c r="D59" s="23"/>
      <c r="E59" s="23">
        <f t="shared" si="1"/>
        <v>0</v>
      </c>
      <c r="F59" s="26"/>
      <c r="G59" s="27"/>
    </row>
    <row r="60" spans="1:7" x14ac:dyDescent="0.25">
      <c r="A60" s="21"/>
      <c r="D60" s="23"/>
      <c r="E60" s="23">
        <f t="shared" si="1"/>
        <v>0</v>
      </c>
      <c r="F60" s="26"/>
      <c r="G60" s="27"/>
    </row>
    <row r="61" spans="1:7" x14ac:dyDescent="0.25">
      <c r="A61" s="21"/>
      <c r="D61" s="23"/>
      <c r="E61" s="23">
        <f t="shared" si="1"/>
        <v>0</v>
      </c>
      <c r="F61" s="26"/>
      <c r="G61" s="27"/>
    </row>
    <row r="62" spans="1:7" x14ac:dyDescent="0.25">
      <c r="A62" s="21"/>
      <c r="D62" s="23"/>
      <c r="E62" s="23">
        <f t="shared" si="1"/>
        <v>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si="1"/>
        <v>0</v>
      </c>
      <c r="F68" s="26"/>
      <c r="G68" s="27"/>
    </row>
    <row r="69" spans="1:7" x14ac:dyDescent="0.25">
      <c r="A69" s="21"/>
      <c r="D69" s="23"/>
      <c r="E69" s="23">
        <f t="shared" si="1"/>
        <v>0</v>
      </c>
      <c r="F69" s="26"/>
      <c r="G69" s="27"/>
    </row>
    <row r="70" spans="1:7" x14ac:dyDescent="0.25">
      <c r="A70" s="99"/>
      <c r="B70" s="100"/>
      <c r="C70" s="101"/>
      <c r="D70" s="102"/>
      <c r="E70" s="102">
        <f t="shared" si="1"/>
        <v>0</v>
      </c>
      <c r="F70" s="26"/>
      <c r="G70" s="27"/>
    </row>
    <row r="71" spans="1:7" x14ac:dyDescent="0.25">
      <c r="A71" s="21"/>
      <c r="D71" s="23"/>
      <c r="E71" s="23">
        <f t="shared" si="1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1"/>
        <v>0</v>
      </c>
      <c r="F72" s="45"/>
      <c r="G72" s="17"/>
    </row>
    <row r="73" spans="1:7" x14ac:dyDescent="0.25">
      <c r="A73" s="21"/>
      <c r="D73" s="23"/>
      <c r="E73" s="23">
        <f t="shared" si="1"/>
        <v>0</v>
      </c>
      <c r="F73" s="26"/>
      <c r="G73" s="27"/>
    </row>
    <row r="74" spans="1:7" x14ac:dyDescent="0.25">
      <c r="A74" s="43"/>
      <c r="E74" s="20">
        <f t="shared" si="1"/>
        <v>0</v>
      </c>
      <c r="F74" s="26"/>
      <c r="G74" s="27"/>
    </row>
    <row r="75" spans="1:7" x14ac:dyDescent="0.25">
      <c r="A75" s="21"/>
      <c r="D75" s="23"/>
      <c r="E75" s="23">
        <f t="shared" si="1"/>
        <v>0</v>
      </c>
      <c r="F75" s="26"/>
      <c r="G75" s="27"/>
    </row>
    <row r="76" spans="1:7" x14ac:dyDescent="0.25">
      <c r="A76" s="21"/>
      <c r="D76" s="23"/>
      <c r="E76" s="23">
        <f t="shared" si="1"/>
        <v>0</v>
      </c>
      <c r="F76" s="26"/>
      <c r="G76" s="27"/>
    </row>
    <row r="77" spans="1:7" x14ac:dyDescent="0.25">
      <c r="A77" s="21"/>
      <c r="D77" s="23"/>
      <c r="E77" s="23">
        <f t="shared" si="1"/>
        <v>0</v>
      </c>
      <c r="F77" s="26"/>
      <c r="G77" s="27"/>
    </row>
    <row r="78" spans="1:7" x14ac:dyDescent="0.25">
      <c r="A78" s="21"/>
      <c r="D78" s="23"/>
      <c r="E78" s="23">
        <f t="shared" si="1"/>
        <v>0</v>
      </c>
      <c r="F78" s="26"/>
      <c r="G78" s="27"/>
    </row>
    <row r="79" spans="1:7" x14ac:dyDescent="0.25">
      <c r="A79" s="43"/>
      <c r="E79" s="20">
        <f t="shared" si="1"/>
        <v>0</v>
      </c>
      <c r="F79" s="26"/>
      <c r="G79" s="27"/>
    </row>
    <row r="80" spans="1:7" x14ac:dyDescent="0.25">
      <c r="A80" s="21"/>
      <c r="D80" s="23"/>
      <c r="E80" s="23">
        <f t="shared" si="1"/>
        <v>0</v>
      </c>
      <c r="F80" s="45"/>
      <c r="G80" s="17"/>
    </row>
    <row r="81" spans="1:7" x14ac:dyDescent="0.25">
      <c r="A81" s="21"/>
      <c r="D81" s="23"/>
      <c r="E81" s="23">
        <f t="shared" si="1"/>
        <v>0</v>
      </c>
      <c r="F81" s="26"/>
      <c r="G81" s="17"/>
    </row>
    <row r="82" spans="1:7" x14ac:dyDescent="0.25">
      <c r="A82" s="21"/>
      <c r="D82" s="23"/>
      <c r="E82" s="23">
        <f t="shared" ref="E82:E113" si="2">C82*D82</f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  <c r="G88" s="17"/>
    </row>
    <row r="89" spans="1:7" x14ac:dyDescent="0.25">
      <c r="A89" s="21"/>
      <c r="D89" s="23"/>
      <c r="E89" s="23">
        <f t="shared" si="2"/>
        <v>0</v>
      </c>
      <c r="F89" s="45"/>
      <c r="G89" s="17"/>
    </row>
    <row r="90" spans="1:7" x14ac:dyDescent="0.25">
      <c r="A90" s="43"/>
      <c r="B90" s="1"/>
      <c r="C90" s="98"/>
      <c r="D90" s="67"/>
      <c r="E90" s="67">
        <f t="shared" si="2"/>
        <v>0</v>
      </c>
      <c r="F90" s="45"/>
      <c r="G90" s="17"/>
    </row>
    <row r="91" spans="1:7" x14ac:dyDescent="0.25">
      <c r="A91" s="21"/>
      <c r="B91" s="1"/>
      <c r="C91" s="96"/>
      <c r="D91" s="67"/>
      <c r="E91" s="67">
        <f t="shared" si="2"/>
        <v>0</v>
      </c>
      <c r="F91" s="45"/>
      <c r="G91" s="17"/>
    </row>
    <row r="92" spans="1:7" x14ac:dyDescent="0.25">
      <c r="A92" s="21"/>
      <c r="B92" s="1"/>
      <c r="C92" s="96"/>
      <c r="D92" s="67"/>
      <c r="E92" s="67">
        <f t="shared" si="2"/>
        <v>0</v>
      </c>
      <c r="F92" s="45"/>
      <c r="G92" s="17"/>
    </row>
    <row r="93" spans="1:7" x14ac:dyDescent="0.25">
      <c r="A93" s="21"/>
      <c r="B93" s="1"/>
      <c r="C93" s="96"/>
      <c r="D93" s="67"/>
      <c r="E93" s="67">
        <f t="shared" si="2"/>
        <v>0</v>
      </c>
      <c r="F93" s="45"/>
      <c r="G93" s="17"/>
    </row>
    <row r="94" spans="1:7" x14ac:dyDescent="0.25">
      <c r="A94" s="21"/>
      <c r="B94" s="1"/>
      <c r="C94" s="96"/>
      <c r="D94" s="67"/>
      <c r="E94" s="67">
        <f t="shared" si="2"/>
        <v>0</v>
      </c>
      <c r="F94" s="45"/>
      <c r="G94" s="17"/>
    </row>
    <row r="95" spans="1:7" x14ac:dyDescent="0.25">
      <c r="A95" s="21"/>
      <c r="B95" s="1"/>
      <c r="C95" s="96"/>
      <c r="D95" s="67"/>
      <c r="E95" s="67">
        <f t="shared" si="2"/>
        <v>0</v>
      </c>
      <c r="F95" s="45"/>
      <c r="G95" s="17"/>
    </row>
    <row r="96" spans="1:7" x14ac:dyDescent="0.25">
      <c r="A96" s="21"/>
      <c r="B96" s="1"/>
      <c r="C96" s="96"/>
      <c r="D96" s="67"/>
      <c r="E96" s="67">
        <f t="shared" si="2"/>
        <v>0</v>
      </c>
      <c r="F96" s="45"/>
      <c r="G96" s="17"/>
    </row>
    <row r="97" spans="1:7" x14ac:dyDescent="0.25">
      <c r="A97" s="21"/>
      <c r="B97" s="1"/>
      <c r="C97" s="96"/>
      <c r="D97" s="67"/>
      <c r="E97" s="67">
        <f t="shared" si="2"/>
        <v>0</v>
      </c>
      <c r="F97" s="45"/>
      <c r="G97" s="17"/>
    </row>
    <row r="98" spans="1:7" x14ac:dyDescent="0.25">
      <c r="A98" s="21"/>
      <c r="B98" s="1"/>
      <c r="C98" s="96"/>
      <c r="D98" s="67"/>
      <c r="E98" s="67">
        <f t="shared" si="2"/>
        <v>0</v>
      </c>
      <c r="F98" s="45"/>
      <c r="G98" s="17"/>
    </row>
    <row r="99" spans="1:7" x14ac:dyDescent="0.25">
      <c r="A99" s="21"/>
      <c r="B99" s="1"/>
      <c r="C99" s="96"/>
      <c r="D99" s="67"/>
      <c r="E99" s="67">
        <f t="shared" si="2"/>
        <v>0</v>
      </c>
      <c r="F99" s="45"/>
      <c r="G99" s="17"/>
    </row>
    <row r="100" spans="1:7" x14ac:dyDescent="0.25">
      <c r="A100" s="21"/>
      <c r="D100" s="23"/>
      <c r="E100" s="23">
        <f t="shared" si="2"/>
        <v>0</v>
      </c>
      <c r="F100" s="45"/>
      <c r="G100" s="17"/>
    </row>
    <row r="101" spans="1:7" x14ac:dyDescent="0.25">
      <c r="A101" s="21"/>
      <c r="D101" s="23"/>
      <c r="E101" s="23">
        <f t="shared" si="2"/>
        <v>0</v>
      </c>
      <c r="F101" s="45"/>
      <c r="G101" s="17"/>
    </row>
    <row r="102" spans="1:7" x14ac:dyDescent="0.25">
      <c r="A102" s="21"/>
      <c r="D102" s="23"/>
      <c r="E102" s="23">
        <f t="shared" si="2"/>
        <v>0</v>
      </c>
      <c r="F102" s="45"/>
      <c r="G102" s="17"/>
    </row>
    <row r="103" spans="1:7" x14ac:dyDescent="0.25">
      <c r="A103" s="43"/>
      <c r="E103" s="20">
        <f t="shared" si="2"/>
        <v>0</v>
      </c>
      <c r="F103" s="45"/>
      <c r="G103" s="17"/>
    </row>
    <row r="104" spans="1:7" x14ac:dyDescent="0.25">
      <c r="A104" s="21"/>
      <c r="D104" s="23"/>
      <c r="E104" s="23">
        <f t="shared" si="2"/>
        <v>0</v>
      </c>
      <c r="F104" s="45"/>
      <c r="G104" s="17"/>
    </row>
    <row r="105" spans="1:7" x14ac:dyDescent="0.25">
      <c r="A105" s="21"/>
      <c r="D105" s="23"/>
      <c r="E105" s="23">
        <f t="shared" si="2"/>
        <v>0</v>
      </c>
      <c r="F105" s="45"/>
      <c r="G105" s="17"/>
    </row>
    <row r="106" spans="1:7" x14ac:dyDescent="0.25">
      <c r="A106" s="21"/>
      <c r="D106" s="23"/>
      <c r="E106" s="23">
        <f t="shared" si="2"/>
        <v>0</v>
      </c>
      <c r="G106" s="17"/>
    </row>
    <row r="107" spans="1:7" x14ac:dyDescent="0.25">
      <c r="A107" s="21"/>
      <c r="D107" s="23"/>
      <c r="E107" s="23">
        <f t="shared" si="2"/>
        <v>0</v>
      </c>
    </row>
    <row r="108" spans="1:7" x14ac:dyDescent="0.25">
      <c r="A108" s="21"/>
      <c r="D108" s="23"/>
      <c r="E108" s="23">
        <f t="shared" si="2"/>
        <v>0</v>
      </c>
    </row>
    <row r="109" spans="1:7" x14ac:dyDescent="0.25">
      <c r="A109" s="21"/>
      <c r="D109" s="23"/>
      <c r="E109" s="23">
        <f t="shared" si="2"/>
        <v>0</v>
      </c>
    </row>
    <row r="110" spans="1:7" x14ac:dyDescent="0.25">
      <c r="A110" s="21"/>
      <c r="D110" s="23"/>
      <c r="E110" s="23">
        <f t="shared" si="2"/>
        <v>0</v>
      </c>
    </row>
    <row r="111" spans="1:7" x14ac:dyDescent="0.25">
      <c r="A111" s="21"/>
      <c r="D111" s="23"/>
      <c r="E111" s="23">
        <f t="shared" si="2"/>
        <v>0</v>
      </c>
    </row>
    <row r="112" spans="1:7" x14ac:dyDescent="0.25">
      <c r="A112" s="21"/>
      <c r="D112" s="23"/>
      <c r="E112" s="23">
        <f t="shared" si="2"/>
        <v>0</v>
      </c>
    </row>
    <row r="113" spans="1:7" x14ac:dyDescent="0.25">
      <c r="A113" s="21"/>
      <c r="D113" s="23"/>
      <c r="E113" s="23">
        <f t="shared" si="2"/>
        <v>0</v>
      </c>
    </row>
    <row r="114" spans="1:7" x14ac:dyDescent="0.25">
      <c r="A114" s="21"/>
      <c r="D114" s="23"/>
      <c r="E114" s="23">
        <f t="shared" ref="E114:E145" si="3">C114*D114</f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67">
        <f t="shared" si="3"/>
        <v>0</v>
      </c>
    </row>
    <row r="122" spans="1:7" x14ac:dyDescent="0.25">
      <c r="A122" s="43"/>
      <c r="E122" s="67">
        <f t="shared" si="3"/>
        <v>0</v>
      </c>
    </row>
    <row r="123" spans="1:7" x14ac:dyDescent="0.25">
      <c r="A123" s="43"/>
      <c r="E123" s="67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67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67">
        <f t="shared" si="3"/>
        <v>0</v>
      </c>
      <c r="G130" s="27"/>
    </row>
    <row r="131" spans="1:7" x14ac:dyDescent="0.25">
      <c r="A131" s="43"/>
      <c r="E131" s="67">
        <f t="shared" si="3"/>
        <v>0</v>
      </c>
      <c r="G131" s="17"/>
    </row>
    <row r="132" spans="1:7" x14ac:dyDescent="0.25">
      <c r="E132" s="67">
        <f t="shared" si="3"/>
        <v>0</v>
      </c>
    </row>
    <row r="133" spans="1:7" x14ac:dyDescent="0.25">
      <c r="E133" s="67">
        <f t="shared" si="3"/>
        <v>0</v>
      </c>
    </row>
    <row r="134" spans="1:7" x14ac:dyDescent="0.25">
      <c r="E134" s="67">
        <f t="shared" si="3"/>
        <v>0</v>
      </c>
    </row>
    <row r="135" spans="1:7" x14ac:dyDescent="0.25">
      <c r="A135" s="43"/>
      <c r="E135" s="67">
        <f t="shared" si="3"/>
        <v>0</v>
      </c>
    </row>
    <row r="136" spans="1:7" x14ac:dyDescent="0.25">
      <c r="E136" s="67">
        <f t="shared" si="3"/>
        <v>0</v>
      </c>
    </row>
    <row r="137" spans="1:7" x14ac:dyDescent="0.25">
      <c r="E137" s="67">
        <f t="shared" si="3"/>
        <v>0</v>
      </c>
    </row>
    <row r="138" spans="1:7" x14ac:dyDescent="0.25">
      <c r="E138" s="67">
        <f t="shared" si="3"/>
        <v>0</v>
      </c>
    </row>
    <row r="139" spans="1:7" x14ac:dyDescent="0.25">
      <c r="E139" s="67">
        <f t="shared" si="3"/>
        <v>0</v>
      </c>
    </row>
    <row r="140" spans="1:7" x14ac:dyDescent="0.25">
      <c r="E140" s="67">
        <f t="shared" si="3"/>
        <v>0</v>
      </c>
    </row>
    <row r="141" spans="1:7" x14ac:dyDescent="0.25">
      <c r="A141" s="43"/>
      <c r="E141" s="67">
        <f t="shared" si="3"/>
        <v>0</v>
      </c>
    </row>
    <row r="142" spans="1:7" x14ac:dyDescent="0.25">
      <c r="E142" s="67">
        <f t="shared" si="3"/>
        <v>0</v>
      </c>
    </row>
    <row r="143" spans="1:7" x14ac:dyDescent="0.25">
      <c r="E143" s="67">
        <f t="shared" si="3"/>
        <v>0</v>
      </c>
    </row>
    <row r="144" spans="1:7" x14ac:dyDescent="0.25">
      <c r="E144" s="67">
        <f t="shared" si="3"/>
        <v>0</v>
      </c>
    </row>
    <row r="145" spans="5:5" x14ac:dyDescent="0.25">
      <c r="E145" s="67">
        <f t="shared" si="3"/>
        <v>0</v>
      </c>
    </row>
    <row r="146" spans="5:5" x14ac:dyDescent="0.25">
      <c r="E146" s="67">
        <f t="shared" ref="E146:E177" si="4">C146*D146</f>
        <v>0</v>
      </c>
    </row>
    <row r="147" spans="5:5" x14ac:dyDescent="0.25">
      <c r="E147" s="67"/>
    </row>
    <row r="148" spans="5:5" x14ac:dyDescent="0.25">
      <c r="E148" s="67"/>
    </row>
    <row r="149" spans="5:5" x14ac:dyDescent="0.25">
      <c r="E149" s="67"/>
    </row>
    <row r="150" spans="5:5" x14ac:dyDescent="0.25">
      <c r="E150" s="67"/>
    </row>
    <row r="151" spans="5:5" x14ac:dyDescent="0.25">
      <c r="E151" s="67"/>
    </row>
    <row r="199" spans="5:7" x14ac:dyDescent="0.25">
      <c r="E199" s="23">
        <f>SUM(E3:E198)</f>
        <v>160252000</v>
      </c>
      <c r="G199" s="27">
        <f>SUM(G3:G198)</f>
        <v>85420000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3999-2F92-0642-BBFE-B155467496DF}">
  <sheetPr>
    <tabColor rgb="FFFFC000"/>
  </sheetPr>
  <dimension ref="A2:F206"/>
  <sheetViews>
    <sheetView zoomScaleNormal="60" zoomScaleSheetLayoutView="100" workbookViewId="0">
      <selection activeCell="C46" sqref="C46"/>
    </sheetView>
  </sheetViews>
  <sheetFormatPr defaultRowHeight="15" x14ac:dyDescent="0.25"/>
  <cols>
    <col min="1" max="1" width="20.5703125" customWidth="1"/>
    <col min="2" max="2" width="8" customWidth="1"/>
    <col min="3" max="3" width="11.42578125" bestFit="1" customWidth="1"/>
    <col min="4" max="4" width="14" style="1" customWidth="1"/>
    <col min="5" max="5" width="12.140625" customWidth="1"/>
    <col min="6" max="6" width="16.140625" customWidth="1"/>
  </cols>
  <sheetData>
    <row r="2" spans="1:6" x14ac:dyDescent="0.25">
      <c r="A2" t="s">
        <v>1</v>
      </c>
      <c r="B2" t="s">
        <v>2</v>
      </c>
      <c r="C2" t="s">
        <v>3</v>
      </c>
      <c r="D2" s="1" t="s">
        <v>4</v>
      </c>
    </row>
    <row r="3" spans="1:6" x14ac:dyDescent="0.25">
      <c r="A3" t="s">
        <v>394</v>
      </c>
      <c r="B3">
        <v>4</v>
      </c>
      <c r="C3">
        <v>50000</v>
      </c>
      <c r="D3" s="1">
        <f t="shared" ref="D3:D29" si="0">B3*C3</f>
        <v>200000</v>
      </c>
      <c r="E3" s="8" t="s">
        <v>20</v>
      </c>
      <c r="F3" s="9">
        <f>'Май 2024'!I3</f>
        <v>54686000</v>
      </c>
    </row>
    <row r="4" spans="1:6" x14ac:dyDescent="0.25">
      <c r="A4" t="s">
        <v>393</v>
      </c>
      <c r="B4">
        <v>3</v>
      </c>
      <c r="C4" s="7">
        <v>62000</v>
      </c>
      <c r="D4" s="1">
        <f t="shared" si="0"/>
        <v>186000</v>
      </c>
    </row>
    <row r="5" spans="1:6" x14ac:dyDescent="0.25">
      <c r="A5" t="s">
        <v>385</v>
      </c>
      <c r="B5">
        <v>18</v>
      </c>
      <c r="C5" s="7">
        <v>30000</v>
      </c>
      <c r="D5" s="1">
        <f t="shared" si="0"/>
        <v>540000</v>
      </c>
      <c r="E5" s="10" t="s">
        <v>21</v>
      </c>
      <c r="F5" s="11">
        <f>D39</f>
        <v>35376000</v>
      </c>
    </row>
    <row r="6" spans="1:6" x14ac:dyDescent="0.25">
      <c r="A6" t="s">
        <v>367</v>
      </c>
      <c r="B6">
        <v>48</v>
      </c>
      <c r="C6" s="7">
        <v>50000</v>
      </c>
      <c r="D6" s="1">
        <f t="shared" si="0"/>
        <v>2400000</v>
      </c>
    </row>
    <row r="7" spans="1:6" x14ac:dyDescent="0.25">
      <c r="A7" t="s">
        <v>369</v>
      </c>
      <c r="B7">
        <v>12</v>
      </c>
      <c r="C7">
        <v>57000</v>
      </c>
      <c r="D7" s="1">
        <f t="shared" si="0"/>
        <v>684000</v>
      </c>
    </row>
    <row r="8" spans="1:6" x14ac:dyDescent="0.25">
      <c r="A8" t="s">
        <v>368</v>
      </c>
      <c r="B8">
        <v>2</v>
      </c>
      <c r="C8">
        <v>56000</v>
      </c>
      <c r="D8" s="1">
        <f t="shared" si="0"/>
        <v>112000</v>
      </c>
      <c r="E8" s="12" t="s">
        <v>22</v>
      </c>
      <c r="F8" s="13">
        <f>F3-F5</f>
        <v>19310000</v>
      </c>
    </row>
    <row r="9" spans="1:6" x14ac:dyDescent="0.25">
      <c r="A9" t="s">
        <v>379</v>
      </c>
      <c r="B9">
        <v>38</v>
      </c>
      <c r="C9">
        <v>41000</v>
      </c>
      <c r="D9" s="1">
        <f t="shared" si="0"/>
        <v>1558000</v>
      </c>
    </row>
    <row r="10" spans="1:6" x14ac:dyDescent="0.25">
      <c r="A10" t="s">
        <v>359</v>
      </c>
      <c r="B10">
        <v>10</v>
      </c>
      <c r="C10">
        <v>52000</v>
      </c>
      <c r="D10" s="1">
        <f t="shared" si="0"/>
        <v>520000</v>
      </c>
    </row>
    <row r="11" spans="1:6" x14ac:dyDescent="0.25">
      <c r="A11" t="s">
        <v>371</v>
      </c>
      <c r="B11">
        <v>8</v>
      </c>
      <c r="C11">
        <v>55000</v>
      </c>
      <c r="D11" s="1">
        <f t="shared" si="0"/>
        <v>440000</v>
      </c>
    </row>
    <row r="12" spans="1:6" x14ac:dyDescent="0.25">
      <c r="A12" t="s">
        <v>357</v>
      </c>
      <c r="B12">
        <v>56</v>
      </c>
      <c r="C12">
        <v>44000</v>
      </c>
      <c r="D12" s="1">
        <f t="shared" si="0"/>
        <v>2464000</v>
      </c>
    </row>
    <row r="13" spans="1:6" x14ac:dyDescent="0.25">
      <c r="A13" t="s">
        <v>395</v>
      </c>
      <c r="B13">
        <v>30</v>
      </c>
      <c r="C13">
        <v>72000</v>
      </c>
      <c r="D13" s="1">
        <f t="shared" si="0"/>
        <v>2160000</v>
      </c>
    </row>
    <row r="14" spans="1:6" x14ac:dyDescent="0.25">
      <c r="A14" t="s">
        <v>397</v>
      </c>
      <c r="B14">
        <v>96</v>
      </c>
      <c r="C14">
        <v>60000</v>
      </c>
      <c r="D14" s="1">
        <f t="shared" si="0"/>
        <v>5760000</v>
      </c>
    </row>
    <row r="15" spans="1:6" x14ac:dyDescent="0.25">
      <c r="A15" t="s">
        <v>358</v>
      </c>
      <c r="B15">
        <v>36</v>
      </c>
      <c r="C15">
        <v>42000</v>
      </c>
      <c r="D15" s="1">
        <f t="shared" si="0"/>
        <v>1512000</v>
      </c>
    </row>
    <row r="16" spans="1:6" x14ac:dyDescent="0.25">
      <c r="A16" t="s">
        <v>205</v>
      </c>
      <c r="B16">
        <v>2</v>
      </c>
      <c r="C16">
        <v>45000</v>
      </c>
      <c r="D16" s="1">
        <f t="shared" si="0"/>
        <v>90000</v>
      </c>
    </row>
    <row r="17" spans="1:6" x14ac:dyDescent="0.25">
      <c r="A17" t="s">
        <v>380</v>
      </c>
      <c r="B17">
        <v>70</v>
      </c>
      <c r="C17">
        <v>37000</v>
      </c>
      <c r="D17" s="1">
        <f t="shared" si="0"/>
        <v>2590000</v>
      </c>
    </row>
    <row r="18" spans="1:6" x14ac:dyDescent="0.25">
      <c r="A18" t="s">
        <v>381</v>
      </c>
      <c r="B18">
        <v>4</v>
      </c>
      <c r="C18">
        <v>40000</v>
      </c>
      <c r="D18" s="1">
        <f t="shared" si="0"/>
        <v>160000</v>
      </c>
    </row>
    <row r="19" spans="1:6" x14ac:dyDescent="0.25">
      <c r="A19" t="s">
        <v>382</v>
      </c>
      <c r="B19">
        <v>82</v>
      </c>
      <c r="C19">
        <v>40000</v>
      </c>
      <c r="D19" s="1">
        <f t="shared" si="0"/>
        <v>3280000</v>
      </c>
      <c r="E19" s="58"/>
      <c r="F19" s="57"/>
    </row>
    <row r="20" spans="1:6" x14ac:dyDescent="0.25">
      <c r="A20" t="s">
        <v>278</v>
      </c>
      <c r="B20">
        <v>110</v>
      </c>
      <c r="C20" s="1">
        <v>67000</v>
      </c>
      <c r="D20" s="1">
        <f t="shared" si="0"/>
        <v>7370000</v>
      </c>
    </row>
    <row r="21" spans="1:6" x14ac:dyDescent="0.25">
      <c r="A21" t="s">
        <v>378</v>
      </c>
      <c r="B21">
        <v>10</v>
      </c>
      <c r="C21">
        <v>65000</v>
      </c>
      <c r="D21" s="1">
        <f t="shared" si="0"/>
        <v>650000</v>
      </c>
      <c r="E21" s="1"/>
    </row>
    <row r="22" spans="1:6" x14ac:dyDescent="0.25">
      <c r="A22" t="s">
        <v>396</v>
      </c>
      <c r="B22">
        <f>16+20</f>
        <v>36</v>
      </c>
      <c r="C22">
        <v>75000</v>
      </c>
      <c r="D22" s="1">
        <f t="shared" si="0"/>
        <v>2700000</v>
      </c>
      <c r="E22" s="1"/>
    </row>
    <row r="23" spans="1:6" x14ac:dyDescent="0.25">
      <c r="D23" s="1">
        <f t="shared" si="0"/>
        <v>0</v>
      </c>
      <c r="E23" s="1"/>
    </row>
    <row r="24" spans="1:6" x14ac:dyDescent="0.25">
      <c r="B24" s="93"/>
      <c r="D24" s="1">
        <f t="shared" si="0"/>
        <v>0</v>
      </c>
      <c r="E24" s="1"/>
    </row>
    <row r="25" spans="1:6" x14ac:dyDescent="0.25">
      <c r="B25" s="93"/>
      <c r="D25" s="1">
        <f t="shared" si="0"/>
        <v>0</v>
      </c>
      <c r="E25" s="1"/>
    </row>
    <row r="26" spans="1:6" x14ac:dyDescent="0.25">
      <c r="B26" s="93"/>
      <c r="D26" s="1">
        <f t="shared" si="0"/>
        <v>0</v>
      </c>
      <c r="E26" s="1"/>
    </row>
    <row r="27" spans="1:6" x14ac:dyDescent="0.25">
      <c r="B27" s="93"/>
      <c r="D27" s="1">
        <f t="shared" si="0"/>
        <v>0</v>
      </c>
      <c r="E27" s="1"/>
    </row>
    <row r="28" spans="1:6" x14ac:dyDescent="0.25">
      <c r="B28" s="93"/>
      <c r="D28" s="1">
        <f t="shared" si="0"/>
        <v>0</v>
      </c>
      <c r="E28" s="1"/>
    </row>
    <row r="29" spans="1:6" ht="16.5" customHeight="1" thickBot="1" x14ac:dyDescent="0.3">
      <c r="B29" s="93"/>
      <c r="D29" s="1">
        <f t="shared" si="0"/>
        <v>0</v>
      </c>
    </row>
    <row r="30" spans="1:6" ht="15.75" thickBot="1" x14ac:dyDescent="0.3">
      <c r="A30" s="116" t="s">
        <v>93</v>
      </c>
      <c r="B30" s="117"/>
      <c r="C30" s="117"/>
      <c r="D30" s="70"/>
    </row>
    <row r="31" spans="1:6" x14ac:dyDescent="0.25">
      <c r="A31" s="71" t="s">
        <v>315</v>
      </c>
      <c r="B31" s="72"/>
      <c r="C31" s="72"/>
      <c r="D31" s="73"/>
    </row>
    <row r="32" spans="1:6" x14ac:dyDescent="0.25">
      <c r="A32" s="74" t="s">
        <v>343</v>
      </c>
      <c r="B32" s="68"/>
      <c r="C32" s="68"/>
      <c r="D32" s="75"/>
    </row>
    <row r="33" spans="1:4" x14ac:dyDescent="0.25">
      <c r="A33" s="74" t="s">
        <v>225</v>
      </c>
      <c r="B33" s="68"/>
      <c r="C33" s="68"/>
      <c r="D33" s="75"/>
    </row>
    <row r="34" spans="1:4" x14ac:dyDescent="0.25">
      <c r="A34" s="74" t="s">
        <v>139</v>
      </c>
      <c r="B34" s="68"/>
      <c r="C34" s="69"/>
      <c r="D34" s="75"/>
    </row>
    <row r="35" spans="1:4" x14ac:dyDescent="0.25">
      <c r="A35" s="74" t="s">
        <v>241</v>
      </c>
      <c r="B35" s="68"/>
      <c r="C35" s="68"/>
      <c r="D35" s="75"/>
    </row>
    <row r="36" spans="1:4" x14ac:dyDescent="0.25">
      <c r="A36" s="74" t="s">
        <v>249</v>
      </c>
      <c r="B36" s="68"/>
      <c r="C36" s="68"/>
      <c r="D36" s="75"/>
    </row>
    <row r="37" spans="1:4" x14ac:dyDescent="0.25">
      <c r="A37" s="76" t="s">
        <v>247</v>
      </c>
      <c r="B37" s="68"/>
      <c r="C37" s="68"/>
      <c r="D37" s="75"/>
    </row>
    <row r="38" spans="1:4" ht="15.75" thickBot="1" x14ac:dyDescent="0.3">
      <c r="A38" s="77" t="s">
        <v>79</v>
      </c>
      <c r="B38" s="78"/>
      <c r="C38" s="78"/>
      <c r="D38" s="79"/>
    </row>
    <row r="39" spans="1:4" x14ac:dyDescent="0.25">
      <c r="D39" s="13">
        <f>SUM(D3:D38)</f>
        <v>35376000</v>
      </c>
    </row>
    <row r="206" spans="4:4" x14ac:dyDescent="0.25">
      <c r="D206" s="1">
        <v>41415000</v>
      </c>
    </row>
  </sheetData>
  <mergeCells count="1">
    <mergeCell ref="A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14EF-35F6-C946-B8D8-86634888A51E}">
  <dimension ref="A1:K200"/>
  <sheetViews>
    <sheetView zoomScaleNormal="100" zoomScaleSheetLayoutView="100" workbookViewId="0">
      <selection activeCell="M32" sqref="L31:M32"/>
    </sheetView>
  </sheetViews>
  <sheetFormatPr defaultRowHeight="15" x14ac:dyDescent="0.25"/>
  <cols>
    <col min="1" max="1" width="10.7109375" bestFit="1" customWidth="1"/>
    <col min="2" max="2" width="18.5703125" customWidth="1"/>
    <col min="3" max="3" width="8.7109375" style="22" bestFit="1" customWidth="1"/>
    <col min="4" max="4" width="11.28515625" style="20" bestFit="1" customWidth="1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'Июл 2024'!I3</f>
        <v>28637000</v>
      </c>
      <c r="F3" s="26">
        <v>45536</v>
      </c>
      <c r="G3" s="27">
        <v>5300000</v>
      </c>
      <c r="I3" s="110">
        <f>E199-G199</f>
        <v>22230000</v>
      </c>
      <c r="J3" s="111"/>
    </row>
    <row r="4" spans="1:11" x14ac:dyDescent="0.25">
      <c r="A4" s="21">
        <v>45536</v>
      </c>
      <c r="B4" t="s">
        <v>383</v>
      </c>
      <c r="C4" s="22">
        <v>88</v>
      </c>
      <c r="D4" s="23">
        <v>60000</v>
      </c>
      <c r="E4" s="23">
        <f>C4*D4</f>
        <v>5280000</v>
      </c>
      <c r="F4" s="26">
        <v>45538</v>
      </c>
      <c r="G4" s="27">
        <f>4432000+1270000+1300000+7600000</f>
        <v>14602000</v>
      </c>
      <c r="I4" s="89" t="s">
        <v>132</v>
      </c>
      <c r="J4" s="90">
        <v>12750</v>
      </c>
    </row>
    <row r="5" spans="1:11" ht="15.75" thickBot="1" x14ac:dyDescent="0.3">
      <c r="A5" s="21">
        <v>45538</v>
      </c>
      <c r="B5" t="s">
        <v>383</v>
      </c>
      <c r="C5" s="22">
        <v>82</v>
      </c>
      <c r="D5" s="23">
        <v>60000</v>
      </c>
      <c r="E5" s="23">
        <f t="shared" ref="E5:E49" si="0">C5*D5</f>
        <v>4920000</v>
      </c>
      <c r="F5" s="26">
        <v>45538</v>
      </c>
      <c r="G5" s="27">
        <v>536000</v>
      </c>
      <c r="H5" t="s">
        <v>387</v>
      </c>
      <c r="I5" s="112">
        <f>I3/J4</f>
        <v>1743.5294117647059</v>
      </c>
      <c r="J5" s="113"/>
    </row>
    <row r="6" spans="1:11" ht="15.75" thickBot="1" x14ac:dyDescent="0.3">
      <c r="A6" s="21"/>
      <c r="B6" t="s">
        <v>378</v>
      </c>
      <c r="C6" s="22">
        <v>86</v>
      </c>
      <c r="D6" s="23">
        <v>65000</v>
      </c>
      <c r="E6" s="23">
        <f t="shared" si="0"/>
        <v>5590000</v>
      </c>
      <c r="F6" s="26">
        <v>45539</v>
      </c>
      <c r="G6" s="27">
        <f>6720000+9100000</f>
        <v>15820000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/>
      <c r="B7" t="s">
        <v>374</v>
      </c>
      <c r="C7" s="22">
        <v>34</v>
      </c>
      <c r="D7" s="23">
        <v>62000</v>
      </c>
      <c r="E7" s="23">
        <f t="shared" si="0"/>
        <v>2108000</v>
      </c>
      <c r="F7" s="26">
        <v>45540</v>
      </c>
      <c r="G7" s="27">
        <v>12650000</v>
      </c>
    </row>
    <row r="8" spans="1:11" ht="15.75" thickBot="1" x14ac:dyDescent="0.3">
      <c r="A8" s="21">
        <v>45539</v>
      </c>
      <c r="B8" t="s">
        <v>378</v>
      </c>
      <c r="C8" s="22">
        <v>60</v>
      </c>
      <c r="D8" s="23">
        <v>65000</v>
      </c>
      <c r="E8" s="23">
        <f t="shared" si="0"/>
        <v>3900000</v>
      </c>
      <c r="F8" s="26">
        <v>45541</v>
      </c>
      <c r="G8" s="27">
        <v>17825000</v>
      </c>
      <c r="I8" s="29" t="s">
        <v>15</v>
      </c>
      <c r="J8" s="30">
        <f>I3-J6</f>
        <v>-13146000</v>
      </c>
    </row>
    <row r="9" spans="1:11" x14ac:dyDescent="0.25">
      <c r="A9" s="21"/>
      <c r="B9" t="s">
        <v>374</v>
      </c>
      <c r="C9" s="22">
        <v>14</v>
      </c>
      <c r="D9" s="23">
        <v>62000</v>
      </c>
      <c r="E9" s="23">
        <f t="shared" si="0"/>
        <v>868000</v>
      </c>
      <c r="F9" s="26">
        <v>45542</v>
      </c>
      <c r="G9" s="27">
        <v>16000000</v>
      </c>
      <c r="J9" s="7"/>
    </row>
    <row r="10" spans="1:11" ht="15.75" thickBot="1" x14ac:dyDescent="0.3">
      <c r="A10" s="43"/>
      <c r="B10" t="s">
        <v>383</v>
      </c>
      <c r="C10" s="22">
        <v>120</v>
      </c>
      <c r="D10" s="20">
        <v>60000</v>
      </c>
      <c r="E10" s="23">
        <f t="shared" si="0"/>
        <v>7200000</v>
      </c>
      <c r="F10" s="26">
        <v>45543</v>
      </c>
      <c r="G10" s="27">
        <v>12420000</v>
      </c>
    </row>
    <row r="11" spans="1:11" ht="15.75" thickBot="1" x14ac:dyDescent="0.3">
      <c r="A11" s="21">
        <v>45540</v>
      </c>
      <c r="B11" t="s">
        <v>378</v>
      </c>
      <c r="C11" s="22">
        <v>68</v>
      </c>
      <c r="D11" s="23">
        <v>65000</v>
      </c>
      <c r="E11" s="23">
        <f t="shared" si="0"/>
        <v>4420000</v>
      </c>
      <c r="F11" s="26">
        <v>45545</v>
      </c>
      <c r="G11" s="27">
        <v>13175000</v>
      </c>
      <c r="I11" s="54" t="s">
        <v>66</v>
      </c>
      <c r="J11" s="55"/>
    </row>
    <row r="12" spans="1:11" x14ac:dyDescent="0.25">
      <c r="A12" s="21"/>
      <c r="B12" t="s">
        <v>383</v>
      </c>
      <c r="C12" s="22">
        <v>82</v>
      </c>
      <c r="D12" s="23">
        <v>60000</v>
      </c>
      <c r="E12" s="23">
        <f t="shared" si="0"/>
        <v>4920000</v>
      </c>
      <c r="F12" s="26">
        <v>45546</v>
      </c>
      <c r="G12" s="27">
        <v>14350000</v>
      </c>
    </row>
    <row r="13" spans="1:11" x14ac:dyDescent="0.25">
      <c r="A13" s="21"/>
      <c r="B13" t="s">
        <v>388</v>
      </c>
      <c r="C13" s="22">
        <v>50</v>
      </c>
      <c r="D13" s="23">
        <v>42000</v>
      </c>
      <c r="E13" s="23">
        <f t="shared" si="0"/>
        <v>2100000</v>
      </c>
      <c r="F13" s="26">
        <v>45547</v>
      </c>
      <c r="G13" s="27">
        <v>10960000</v>
      </c>
    </row>
    <row r="14" spans="1:11" ht="15.75" thickBot="1" x14ac:dyDescent="0.3">
      <c r="A14" s="21">
        <v>45541</v>
      </c>
      <c r="B14" t="s">
        <v>383</v>
      </c>
      <c r="C14" s="22">
        <v>124</v>
      </c>
      <c r="D14" s="23">
        <v>60000</v>
      </c>
      <c r="E14" s="23">
        <f t="shared" si="0"/>
        <v>7440000</v>
      </c>
      <c r="F14" s="26">
        <v>45548</v>
      </c>
      <c r="G14" s="27">
        <f>190000+11350000</f>
        <v>11540000</v>
      </c>
    </row>
    <row r="15" spans="1:11" x14ac:dyDescent="0.25">
      <c r="A15" s="21"/>
      <c r="B15" t="s">
        <v>378</v>
      </c>
      <c r="C15" s="22">
        <v>68</v>
      </c>
      <c r="D15" s="23">
        <v>65000</v>
      </c>
      <c r="E15" s="23">
        <f t="shared" si="0"/>
        <v>4420000</v>
      </c>
      <c r="F15" s="26">
        <v>45549</v>
      </c>
      <c r="G15" s="27">
        <v>16350000</v>
      </c>
      <c r="I15" s="114"/>
      <c r="J15" s="115"/>
    </row>
    <row r="16" spans="1:11" ht="15.75" thickBot="1" x14ac:dyDescent="0.3">
      <c r="A16" s="21"/>
      <c r="B16" t="s">
        <v>389</v>
      </c>
      <c r="C16" s="22">
        <f>34*40000+8*50000+24*40000+24*50000+12*40000+14*40000+10*45000+6*40000+6*41000+2*50000+2*40000</f>
        <v>6076000</v>
      </c>
      <c r="D16" s="23">
        <v>1</v>
      </c>
      <c r="E16" s="23">
        <f t="shared" si="0"/>
        <v>6076000</v>
      </c>
      <c r="F16" s="26">
        <v>45550</v>
      </c>
      <c r="G16" s="27">
        <v>15085000</v>
      </c>
      <c r="I16" s="80"/>
      <c r="J16" s="81"/>
    </row>
    <row r="17" spans="1:7" x14ac:dyDescent="0.25">
      <c r="A17" s="21">
        <v>45542</v>
      </c>
      <c r="B17" t="s">
        <v>383</v>
      </c>
      <c r="C17" s="22">
        <v>120</v>
      </c>
      <c r="D17" s="23">
        <v>60000</v>
      </c>
      <c r="E17" s="23">
        <f t="shared" si="0"/>
        <v>7200000</v>
      </c>
      <c r="F17" s="26">
        <v>45552</v>
      </c>
      <c r="G17" s="27">
        <f>9800000+200000</f>
        <v>10000000</v>
      </c>
    </row>
    <row r="18" spans="1:7" x14ac:dyDescent="0.25">
      <c r="A18" s="21">
        <v>45543</v>
      </c>
      <c r="B18" t="s">
        <v>383</v>
      </c>
      <c r="C18" s="22">
        <v>80</v>
      </c>
      <c r="D18" s="23">
        <v>60000</v>
      </c>
      <c r="E18" s="23">
        <f t="shared" si="0"/>
        <v>4800000</v>
      </c>
      <c r="F18" s="26">
        <v>45553</v>
      </c>
      <c r="G18" s="27">
        <v>10120000</v>
      </c>
    </row>
    <row r="19" spans="1:7" x14ac:dyDescent="0.25">
      <c r="A19" s="21"/>
      <c r="B19" t="s">
        <v>374</v>
      </c>
      <c r="C19" s="22">
        <v>110</v>
      </c>
      <c r="D19" s="23">
        <v>62000</v>
      </c>
      <c r="E19" s="23">
        <f t="shared" si="0"/>
        <v>6820000</v>
      </c>
      <c r="F19" s="45">
        <v>45554</v>
      </c>
      <c r="G19" s="17">
        <v>12455000</v>
      </c>
    </row>
    <row r="20" spans="1:7" x14ac:dyDescent="0.25">
      <c r="A20" s="43"/>
      <c r="B20" t="s">
        <v>378</v>
      </c>
      <c r="C20" s="22">
        <v>112</v>
      </c>
      <c r="D20" s="20">
        <v>65000</v>
      </c>
      <c r="E20" s="23">
        <f t="shared" si="0"/>
        <v>7280000</v>
      </c>
      <c r="F20" s="26">
        <v>45555</v>
      </c>
      <c r="G20" s="27">
        <v>11720000</v>
      </c>
    </row>
    <row r="21" spans="1:7" x14ac:dyDescent="0.25">
      <c r="A21" s="21">
        <v>45545</v>
      </c>
      <c r="B21" t="s">
        <v>383</v>
      </c>
      <c r="C21" s="22">
        <v>74</v>
      </c>
      <c r="D21" s="23">
        <v>60000</v>
      </c>
      <c r="E21" s="23">
        <f t="shared" si="0"/>
        <v>4440000</v>
      </c>
      <c r="F21" s="26">
        <v>45556</v>
      </c>
      <c r="G21" s="27">
        <v>9760000</v>
      </c>
    </row>
    <row r="22" spans="1:7" x14ac:dyDescent="0.25">
      <c r="A22" s="21"/>
      <c r="B22" t="s">
        <v>378</v>
      </c>
      <c r="C22" s="22">
        <v>84</v>
      </c>
      <c r="D22" s="23">
        <v>65000</v>
      </c>
      <c r="E22" s="23">
        <f t="shared" si="0"/>
        <v>5460000</v>
      </c>
      <c r="F22" s="26">
        <v>45557</v>
      </c>
      <c r="G22" s="27">
        <v>14207000</v>
      </c>
    </row>
    <row r="23" spans="1:7" x14ac:dyDescent="0.25">
      <c r="A23" s="21"/>
      <c r="B23" t="s">
        <v>374</v>
      </c>
      <c r="C23" s="22">
        <v>14</v>
      </c>
      <c r="D23" s="23">
        <v>62000</v>
      </c>
      <c r="E23" s="23">
        <f t="shared" si="0"/>
        <v>868000</v>
      </c>
      <c r="F23" s="26">
        <v>45559</v>
      </c>
      <c r="G23" s="27">
        <v>21000000</v>
      </c>
    </row>
    <row r="24" spans="1:7" x14ac:dyDescent="0.25">
      <c r="A24" s="21">
        <v>45546</v>
      </c>
      <c r="B24" t="s">
        <v>378</v>
      </c>
      <c r="C24" s="22">
        <v>54</v>
      </c>
      <c r="D24" s="23">
        <v>65000</v>
      </c>
      <c r="E24" s="23">
        <f t="shared" si="0"/>
        <v>3510000</v>
      </c>
      <c r="F24" s="26">
        <v>45560</v>
      </c>
      <c r="G24" s="27">
        <v>12500000</v>
      </c>
    </row>
    <row r="25" spans="1:7" x14ac:dyDescent="0.25">
      <c r="A25" s="21"/>
      <c r="B25" t="s">
        <v>374</v>
      </c>
      <c r="C25" s="22">
        <v>52</v>
      </c>
      <c r="D25" s="23">
        <v>62000</v>
      </c>
      <c r="E25" s="23">
        <f t="shared" si="0"/>
        <v>3224000</v>
      </c>
      <c r="F25" s="26">
        <v>45561</v>
      </c>
      <c r="G25" s="27">
        <v>20450000</v>
      </c>
    </row>
    <row r="26" spans="1:7" x14ac:dyDescent="0.25">
      <c r="A26" s="21"/>
      <c r="B26" t="s">
        <v>383</v>
      </c>
      <c r="C26" s="22">
        <v>110</v>
      </c>
      <c r="D26" s="23">
        <v>60000</v>
      </c>
      <c r="E26" s="23">
        <f t="shared" si="0"/>
        <v>6600000</v>
      </c>
      <c r="F26" s="26">
        <v>45562</v>
      </c>
      <c r="G26" s="27">
        <v>11360000</v>
      </c>
    </row>
    <row r="27" spans="1:7" x14ac:dyDescent="0.25">
      <c r="A27" s="21">
        <v>45547</v>
      </c>
      <c r="B27" t="s">
        <v>388</v>
      </c>
      <c r="C27" s="22">
        <v>72</v>
      </c>
      <c r="D27" s="23">
        <v>42000</v>
      </c>
      <c r="E27" s="23">
        <f t="shared" si="0"/>
        <v>3024000</v>
      </c>
      <c r="F27" s="26">
        <v>45563</v>
      </c>
      <c r="G27" s="27">
        <v>7350000</v>
      </c>
    </row>
    <row r="28" spans="1:7" x14ac:dyDescent="0.25">
      <c r="A28" s="21"/>
      <c r="B28" t="s">
        <v>378</v>
      </c>
      <c r="C28" s="22">
        <v>80</v>
      </c>
      <c r="D28" s="23">
        <v>65000</v>
      </c>
      <c r="E28" s="23">
        <f t="shared" si="0"/>
        <v>5200000</v>
      </c>
      <c r="F28" s="45">
        <v>45564</v>
      </c>
      <c r="G28" s="17">
        <v>17640000</v>
      </c>
    </row>
    <row r="29" spans="1:7" x14ac:dyDescent="0.25">
      <c r="A29" s="21"/>
      <c r="B29" t="s">
        <v>383</v>
      </c>
      <c r="C29" s="22">
        <v>74</v>
      </c>
      <c r="D29" s="23">
        <v>60000</v>
      </c>
      <c r="E29" s="23">
        <f t="shared" si="0"/>
        <v>4440000</v>
      </c>
      <c r="F29" s="26"/>
      <c r="G29" s="27"/>
    </row>
    <row r="30" spans="1:7" x14ac:dyDescent="0.25">
      <c r="A30" s="21">
        <v>45548</v>
      </c>
      <c r="B30" t="s">
        <v>378</v>
      </c>
      <c r="C30" s="22">
        <v>50</v>
      </c>
      <c r="D30" s="23">
        <v>65000</v>
      </c>
      <c r="E30" s="23">
        <f t="shared" si="0"/>
        <v>3250000</v>
      </c>
      <c r="F30" s="26"/>
      <c r="G30" s="27"/>
    </row>
    <row r="31" spans="1:7" x14ac:dyDescent="0.25">
      <c r="A31" s="21"/>
      <c r="B31" t="s">
        <v>383</v>
      </c>
      <c r="C31" s="22">
        <v>150</v>
      </c>
      <c r="D31" s="23">
        <v>60000</v>
      </c>
      <c r="E31" s="23">
        <f t="shared" si="0"/>
        <v>9000000</v>
      </c>
      <c r="F31" s="85"/>
      <c r="G31" s="86"/>
    </row>
    <row r="32" spans="1:7" x14ac:dyDescent="0.25">
      <c r="A32" s="43">
        <v>45549</v>
      </c>
      <c r="B32" t="s">
        <v>383</v>
      </c>
      <c r="C32" s="22">
        <v>106</v>
      </c>
      <c r="D32" s="20">
        <v>60000</v>
      </c>
      <c r="E32" s="23">
        <f t="shared" si="0"/>
        <v>6360000</v>
      </c>
      <c r="F32" s="26"/>
      <c r="G32" s="27"/>
    </row>
    <row r="33" spans="1:7" x14ac:dyDescent="0.25">
      <c r="A33" s="21"/>
      <c r="B33" t="s">
        <v>378</v>
      </c>
      <c r="C33" s="22">
        <v>92</v>
      </c>
      <c r="D33" s="23">
        <v>65000</v>
      </c>
      <c r="E33" s="23">
        <f t="shared" si="0"/>
        <v>5980000</v>
      </c>
      <c r="F33" s="26"/>
      <c r="G33" s="27"/>
    </row>
    <row r="34" spans="1:7" x14ac:dyDescent="0.25">
      <c r="A34" s="21">
        <v>45550</v>
      </c>
      <c r="B34" t="s">
        <v>378</v>
      </c>
      <c r="C34" s="22">
        <v>58</v>
      </c>
      <c r="D34" s="23">
        <v>65000</v>
      </c>
      <c r="E34" s="23">
        <f t="shared" si="0"/>
        <v>3770000</v>
      </c>
      <c r="F34" s="26"/>
      <c r="G34" s="27"/>
    </row>
    <row r="35" spans="1:7" x14ac:dyDescent="0.25">
      <c r="A35" s="21"/>
      <c r="B35" t="s">
        <v>383</v>
      </c>
      <c r="C35" s="22">
        <v>252</v>
      </c>
      <c r="D35" s="23">
        <v>60000</v>
      </c>
      <c r="E35" s="23">
        <f t="shared" si="0"/>
        <v>15120000</v>
      </c>
      <c r="F35" s="26"/>
      <c r="G35" s="27"/>
    </row>
    <row r="36" spans="1:7" x14ac:dyDescent="0.25">
      <c r="A36" s="21">
        <v>45552</v>
      </c>
      <c r="B36" t="s">
        <v>383</v>
      </c>
      <c r="C36" s="22">
        <v>128</v>
      </c>
      <c r="D36" s="23">
        <v>60000</v>
      </c>
      <c r="E36" s="23">
        <f t="shared" si="0"/>
        <v>7680000</v>
      </c>
      <c r="F36" s="26"/>
      <c r="G36" s="27"/>
    </row>
    <row r="37" spans="1:7" x14ac:dyDescent="0.25">
      <c r="A37" s="21"/>
      <c r="B37" t="s">
        <v>378</v>
      </c>
      <c r="C37" s="22">
        <v>44</v>
      </c>
      <c r="D37" s="23">
        <v>65000</v>
      </c>
      <c r="E37" s="23">
        <f t="shared" si="0"/>
        <v>2860000</v>
      </c>
      <c r="F37" s="26"/>
      <c r="G37" s="27"/>
    </row>
    <row r="38" spans="1:7" x14ac:dyDescent="0.25">
      <c r="A38" s="21">
        <v>45553</v>
      </c>
      <c r="B38" t="s">
        <v>383</v>
      </c>
      <c r="C38" s="22">
        <v>190</v>
      </c>
      <c r="D38" s="23">
        <v>60000</v>
      </c>
      <c r="E38" s="23">
        <f t="shared" si="0"/>
        <v>11400000</v>
      </c>
      <c r="F38" s="26"/>
      <c r="G38" s="27"/>
    </row>
    <row r="39" spans="1:7" x14ac:dyDescent="0.25">
      <c r="A39" s="21">
        <v>45554</v>
      </c>
      <c r="B39" t="s">
        <v>383</v>
      </c>
      <c r="C39" s="22">
        <v>192</v>
      </c>
      <c r="D39" s="23">
        <v>60000</v>
      </c>
      <c r="E39" s="23">
        <f t="shared" si="0"/>
        <v>11520000</v>
      </c>
      <c r="F39" s="26"/>
      <c r="G39" s="27"/>
    </row>
    <row r="40" spans="1:7" x14ac:dyDescent="0.25">
      <c r="A40" s="21">
        <v>45555</v>
      </c>
      <c r="B40" t="s">
        <v>378</v>
      </c>
      <c r="C40" s="22">
        <v>90</v>
      </c>
      <c r="D40" s="23">
        <v>65000</v>
      </c>
      <c r="E40" s="23">
        <f t="shared" si="0"/>
        <v>5850000</v>
      </c>
      <c r="F40" s="26"/>
      <c r="G40" s="27"/>
    </row>
    <row r="41" spans="1:7" x14ac:dyDescent="0.25">
      <c r="A41" s="21"/>
      <c r="B41" t="s">
        <v>383</v>
      </c>
      <c r="C41" s="22">
        <v>152</v>
      </c>
      <c r="D41" s="23">
        <v>60000</v>
      </c>
      <c r="E41" s="23">
        <f t="shared" si="0"/>
        <v>9120000</v>
      </c>
      <c r="F41" s="45"/>
      <c r="G41" s="17"/>
    </row>
    <row r="42" spans="1:7" x14ac:dyDescent="0.25">
      <c r="A42" s="21">
        <v>45556</v>
      </c>
      <c r="B42" t="s">
        <v>383</v>
      </c>
      <c r="C42" s="22">
        <v>158</v>
      </c>
      <c r="D42" s="23">
        <v>60000</v>
      </c>
      <c r="E42" s="23">
        <f t="shared" si="0"/>
        <v>9480000</v>
      </c>
      <c r="F42" s="26"/>
      <c r="G42" s="27"/>
    </row>
    <row r="43" spans="1:7" x14ac:dyDescent="0.25">
      <c r="A43" s="21">
        <v>45557</v>
      </c>
      <c r="B43" t="s">
        <v>383</v>
      </c>
      <c r="C43" s="22">
        <v>120</v>
      </c>
      <c r="D43" s="23">
        <v>60000</v>
      </c>
      <c r="E43" s="23">
        <f t="shared" si="0"/>
        <v>7200000</v>
      </c>
      <c r="F43" s="26"/>
      <c r="G43" s="27"/>
    </row>
    <row r="44" spans="1:7" x14ac:dyDescent="0.25">
      <c r="A44" s="21"/>
      <c r="B44" t="s">
        <v>390</v>
      </c>
      <c r="C44" s="22">
        <v>50</v>
      </c>
      <c r="D44" s="23">
        <v>72000</v>
      </c>
      <c r="E44" s="23">
        <f t="shared" si="0"/>
        <v>3600000</v>
      </c>
      <c r="F44" s="26"/>
      <c r="G44" s="27"/>
    </row>
    <row r="45" spans="1:7" x14ac:dyDescent="0.25">
      <c r="A45" s="21"/>
      <c r="B45" t="s">
        <v>391</v>
      </c>
      <c r="C45" s="22">
        <v>88</v>
      </c>
      <c r="D45" s="23">
        <v>67000</v>
      </c>
      <c r="E45" s="23">
        <f t="shared" si="0"/>
        <v>5896000</v>
      </c>
      <c r="F45" s="85"/>
      <c r="G45" s="86"/>
    </row>
    <row r="46" spans="1:7" x14ac:dyDescent="0.25">
      <c r="A46" s="21">
        <v>45559</v>
      </c>
      <c r="B46" t="s">
        <v>390</v>
      </c>
      <c r="C46" s="22">
        <v>76</v>
      </c>
      <c r="D46" s="23">
        <v>72000</v>
      </c>
      <c r="E46" s="23">
        <f t="shared" si="0"/>
        <v>5472000</v>
      </c>
      <c r="F46" s="26"/>
      <c r="G46" s="27"/>
    </row>
    <row r="47" spans="1:7" x14ac:dyDescent="0.25">
      <c r="A47" s="21"/>
      <c r="B47" t="s">
        <v>392</v>
      </c>
      <c r="C47" s="22">
        <v>108</v>
      </c>
      <c r="D47" s="23">
        <v>60000</v>
      </c>
      <c r="E47" s="23">
        <f t="shared" si="0"/>
        <v>6480000</v>
      </c>
      <c r="F47" s="26"/>
      <c r="G47" s="27"/>
    </row>
    <row r="48" spans="1:7" x14ac:dyDescent="0.25">
      <c r="A48" s="21"/>
      <c r="B48" t="s">
        <v>383</v>
      </c>
      <c r="C48" s="22">
        <v>80</v>
      </c>
      <c r="D48" s="23">
        <v>60000</v>
      </c>
      <c r="E48" s="23">
        <f t="shared" si="0"/>
        <v>4800000</v>
      </c>
      <c r="F48" s="26"/>
      <c r="G48" s="27"/>
    </row>
    <row r="49" spans="1:7" x14ac:dyDescent="0.25">
      <c r="A49" s="103">
        <v>45560</v>
      </c>
      <c r="B49" s="104" t="s">
        <v>383</v>
      </c>
      <c r="C49" s="105">
        <v>180</v>
      </c>
      <c r="D49" s="106">
        <v>60000</v>
      </c>
      <c r="E49" s="106">
        <f t="shared" si="0"/>
        <v>10800000</v>
      </c>
      <c r="F49" s="45"/>
      <c r="G49" s="17"/>
    </row>
    <row r="50" spans="1:7" x14ac:dyDescent="0.25">
      <c r="A50" s="21">
        <v>45561</v>
      </c>
      <c r="B50" t="s">
        <v>390</v>
      </c>
      <c r="C50" s="22">
        <v>126</v>
      </c>
      <c r="D50" s="23">
        <v>72000</v>
      </c>
      <c r="E50" s="23">
        <f t="shared" ref="E50:E81" si="1">C50*D50</f>
        <v>9072000</v>
      </c>
      <c r="F50" s="26"/>
      <c r="G50" s="27"/>
    </row>
    <row r="51" spans="1:7" x14ac:dyDescent="0.25">
      <c r="A51" s="21"/>
      <c r="B51" t="s">
        <v>383</v>
      </c>
      <c r="C51" s="22">
        <v>98</v>
      </c>
      <c r="D51" s="23">
        <v>60000</v>
      </c>
      <c r="E51" s="23">
        <f t="shared" si="1"/>
        <v>5880000</v>
      </c>
      <c r="F51" s="85"/>
      <c r="G51" s="86"/>
    </row>
    <row r="52" spans="1:7" x14ac:dyDescent="0.25">
      <c r="A52" s="43"/>
      <c r="B52" t="s">
        <v>391</v>
      </c>
      <c r="C52" s="22">
        <v>8</v>
      </c>
      <c r="D52" s="23">
        <v>67000</v>
      </c>
      <c r="E52" s="23">
        <f t="shared" si="1"/>
        <v>536000</v>
      </c>
      <c r="F52" s="26"/>
      <c r="G52" s="27"/>
    </row>
    <row r="53" spans="1:7" x14ac:dyDescent="0.25">
      <c r="A53" s="21"/>
      <c r="B53" t="s">
        <v>392</v>
      </c>
      <c r="C53" s="22">
        <v>40</v>
      </c>
      <c r="D53" s="23">
        <v>60000</v>
      </c>
      <c r="E53" s="23">
        <f t="shared" si="1"/>
        <v>2400000</v>
      </c>
      <c r="F53" s="26"/>
      <c r="G53" s="27"/>
    </row>
    <row r="54" spans="1:7" x14ac:dyDescent="0.25">
      <c r="A54" s="21">
        <v>45562</v>
      </c>
      <c r="B54" t="s">
        <v>390</v>
      </c>
      <c r="C54" s="22">
        <v>50</v>
      </c>
      <c r="D54" s="23">
        <v>72000</v>
      </c>
      <c r="E54" s="23">
        <f t="shared" si="1"/>
        <v>3600000</v>
      </c>
      <c r="F54" s="26"/>
      <c r="G54" s="27"/>
    </row>
    <row r="55" spans="1:7" x14ac:dyDescent="0.25">
      <c r="A55" s="21"/>
      <c r="B55" t="s">
        <v>383</v>
      </c>
      <c r="C55" s="22">
        <v>126</v>
      </c>
      <c r="D55" s="23">
        <v>60000</v>
      </c>
      <c r="E55" s="23">
        <f t="shared" si="1"/>
        <v>7560000</v>
      </c>
      <c r="F55" s="26"/>
      <c r="G55" s="27"/>
    </row>
    <row r="56" spans="1:7" x14ac:dyDescent="0.25">
      <c r="A56" s="21"/>
      <c r="B56" t="s">
        <v>392</v>
      </c>
      <c r="C56" s="22">
        <v>48</v>
      </c>
      <c r="D56" s="23">
        <v>60000</v>
      </c>
      <c r="E56" s="23">
        <f t="shared" si="1"/>
        <v>2880000</v>
      </c>
      <c r="F56" s="26"/>
      <c r="G56" s="27"/>
    </row>
    <row r="57" spans="1:7" x14ac:dyDescent="0.25">
      <c r="A57" s="21">
        <v>45563</v>
      </c>
      <c r="B57" t="s">
        <v>383</v>
      </c>
      <c r="C57" s="22">
        <v>94</v>
      </c>
      <c r="D57" s="23">
        <v>60000</v>
      </c>
      <c r="E57" s="23">
        <f t="shared" si="1"/>
        <v>5640000</v>
      </c>
      <c r="F57" s="94"/>
      <c r="G57" s="95"/>
    </row>
    <row r="58" spans="1:7" x14ac:dyDescent="0.25">
      <c r="A58" s="21"/>
      <c r="B58" t="s">
        <v>392</v>
      </c>
      <c r="C58" s="22">
        <v>60</v>
      </c>
      <c r="D58" s="23">
        <v>60000</v>
      </c>
      <c r="E58" s="23">
        <f t="shared" si="1"/>
        <v>3600000</v>
      </c>
      <c r="F58" s="26"/>
      <c r="G58" s="27"/>
    </row>
    <row r="59" spans="1:7" x14ac:dyDescent="0.25">
      <c r="A59" s="21"/>
      <c r="B59" t="s">
        <v>390</v>
      </c>
      <c r="C59" s="22">
        <v>30</v>
      </c>
      <c r="D59" s="23">
        <v>72000</v>
      </c>
      <c r="E59" s="23">
        <f t="shared" si="1"/>
        <v>2160000</v>
      </c>
      <c r="F59" s="26"/>
      <c r="G59" s="27"/>
    </row>
    <row r="60" spans="1:7" x14ac:dyDescent="0.25">
      <c r="A60" s="21">
        <v>45564</v>
      </c>
      <c r="B60" t="s">
        <v>390</v>
      </c>
      <c r="C60" s="22">
        <v>150</v>
      </c>
      <c r="D60" s="23">
        <v>72000</v>
      </c>
      <c r="E60" s="23">
        <f t="shared" si="1"/>
        <v>10800000</v>
      </c>
      <c r="F60" s="26"/>
      <c r="G60" s="27"/>
    </row>
    <row r="61" spans="1:7" x14ac:dyDescent="0.25">
      <c r="A61" s="21"/>
      <c r="B61" t="s">
        <v>383</v>
      </c>
      <c r="C61" s="22">
        <v>68</v>
      </c>
      <c r="D61" s="23">
        <v>60000</v>
      </c>
      <c r="E61" s="23">
        <f t="shared" si="1"/>
        <v>4080000</v>
      </c>
      <c r="F61" s="26"/>
      <c r="G61" s="27"/>
    </row>
    <row r="62" spans="1:7" x14ac:dyDescent="0.25">
      <c r="A62" s="21"/>
      <c r="B62" t="s">
        <v>391</v>
      </c>
      <c r="C62" s="22">
        <v>42</v>
      </c>
      <c r="D62" s="23">
        <v>67000</v>
      </c>
      <c r="E62" s="23">
        <f t="shared" si="1"/>
        <v>2814000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si="1"/>
        <v>0</v>
      </c>
      <c r="F68" s="26"/>
      <c r="G68" s="27"/>
    </row>
    <row r="69" spans="1:7" x14ac:dyDescent="0.25">
      <c r="A69" s="21"/>
      <c r="D69" s="23"/>
      <c r="E69" s="23">
        <f t="shared" si="1"/>
        <v>0</v>
      </c>
      <c r="F69" s="26"/>
      <c r="G69" s="27"/>
    </row>
    <row r="70" spans="1:7" x14ac:dyDescent="0.25">
      <c r="A70" s="99"/>
      <c r="B70" s="100"/>
      <c r="C70" s="101"/>
      <c r="D70" s="102"/>
      <c r="E70" s="102">
        <f t="shared" si="1"/>
        <v>0</v>
      </c>
      <c r="F70" s="26"/>
      <c r="G70" s="27"/>
    </row>
    <row r="71" spans="1:7" x14ac:dyDescent="0.25">
      <c r="A71" s="21"/>
      <c r="D71" s="23"/>
      <c r="E71" s="23">
        <f t="shared" si="1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1"/>
        <v>0</v>
      </c>
      <c r="F72" s="45"/>
      <c r="G72" s="17"/>
    </row>
    <row r="73" spans="1:7" x14ac:dyDescent="0.25">
      <c r="A73" s="21"/>
      <c r="D73" s="23"/>
      <c r="E73" s="23">
        <f t="shared" si="1"/>
        <v>0</v>
      </c>
      <c r="F73" s="26"/>
      <c r="G73" s="27"/>
    </row>
    <row r="74" spans="1:7" x14ac:dyDescent="0.25">
      <c r="A74" s="43"/>
      <c r="E74" s="20">
        <f t="shared" si="1"/>
        <v>0</v>
      </c>
      <c r="F74" s="26"/>
      <c r="G74" s="27"/>
    </row>
    <row r="75" spans="1:7" x14ac:dyDescent="0.25">
      <c r="A75" s="21"/>
      <c r="D75" s="23"/>
      <c r="E75" s="23">
        <f t="shared" si="1"/>
        <v>0</v>
      </c>
      <c r="F75" s="26"/>
      <c r="G75" s="27"/>
    </row>
    <row r="76" spans="1:7" x14ac:dyDescent="0.25">
      <c r="A76" s="21"/>
      <c r="D76" s="23"/>
      <c r="E76" s="23">
        <f t="shared" si="1"/>
        <v>0</v>
      </c>
      <c r="F76" s="26"/>
      <c r="G76" s="27"/>
    </row>
    <row r="77" spans="1:7" x14ac:dyDescent="0.25">
      <c r="A77" s="21"/>
      <c r="D77" s="23"/>
      <c r="E77" s="23">
        <f t="shared" si="1"/>
        <v>0</v>
      </c>
      <c r="F77" s="26"/>
      <c r="G77" s="27"/>
    </row>
    <row r="78" spans="1:7" x14ac:dyDescent="0.25">
      <c r="A78" s="21"/>
      <c r="D78" s="23"/>
      <c r="E78" s="23">
        <f t="shared" si="1"/>
        <v>0</v>
      </c>
      <c r="F78" s="26"/>
      <c r="G78" s="27"/>
    </row>
    <row r="79" spans="1:7" x14ac:dyDescent="0.25">
      <c r="A79" s="43"/>
      <c r="E79" s="20">
        <f t="shared" si="1"/>
        <v>0</v>
      </c>
      <c r="F79" s="26"/>
      <c r="G79" s="27"/>
    </row>
    <row r="80" spans="1:7" x14ac:dyDescent="0.25">
      <c r="A80" s="21"/>
      <c r="D80" s="23"/>
      <c r="E80" s="23">
        <f t="shared" si="1"/>
        <v>0</v>
      </c>
      <c r="F80" s="45"/>
      <c r="G80" s="17"/>
    </row>
    <row r="81" spans="1:7" x14ac:dyDescent="0.25">
      <c r="A81" s="21"/>
      <c r="D81" s="23"/>
      <c r="E81" s="23">
        <f t="shared" si="1"/>
        <v>0</v>
      </c>
      <c r="F81" s="26"/>
      <c r="G81" s="17"/>
    </row>
    <row r="82" spans="1:7" x14ac:dyDescent="0.25">
      <c r="A82" s="21"/>
      <c r="D82" s="23"/>
      <c r="E82" s="23">
        <f t="shared" ref="E82:E113" si="2">C82*D82</f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  <c r="G88" s="17"/>
    </row>
    <row r="89" spans="1:7" x14ac:dyDescent="0.25">
      <c r="A89" s="21"/>
      <c r="D89" s="23"/>
      <c r="E89" s="23">
        <f t="shared" si="2"/>
        <v>0</v>
      </c>
      <c r="F89" s="45"/>
      <c r="G89" s="17"/>
    </row>
    <row r="90" spans="1:7" x14ac:dyDescent="0.25">
      <c r="A90" s="43"/>
      <c r="B90" s="1"/>
      <c r="C90" s="98"/>
      <c r="D90" s="67"/>
      <c r="E90" s="67">
        <f t="shared" si="2"/>
        <v>0</v>
      </c>
      <c r="F90" s="45"/>
      <c r="G90" s="17"/>
    </row>
    <row r="91" spans="1:7" x14ac:dyDescent="0.25">
      <c r="A91" s="21"/>
      <c r="B91" s="1"/>
      <c r="C91" s="96"/>
      <c r="D91" s="67"/>
      <c r="E91" s="67">
        <f t="shared" si="2"/>
        <v>0</v>
      </c>
      <c r="F91" s="45"/>
      <c r="G91" s="17"/>
    </row>
    <row r="92" spans="1:7" x14ac:dyDescent="0.25">
      <c r="A92" s="21"/>
      <c r="B92" s="1"/>
      <c r="C92" s="96"/>
      <c r="D92" s="67"/>
      <c r="E92" s="67">
        <f t="shared" si="2"/>
        <v>0</v>
      </c>
      <c r="F92" s="45"/>
      <c r="G92" s="17"/>
    </row>
    <row r="93" spans="1:7" x14ac:dyDescent="0.25">
      <c r="A93" s="21"/>
      <c r="B93" s="1"/>
      <c r="C93" s="96"/>
      <c r="D93" s="67"/>
      <c r="E93" s="67">
        <f t="shared" si="2"/>
        <v>0</v>
      </c>
      <c r="F93" s="45"/>
      <c r="G93" s="17"/>
    </row>
    <row r="94" spans="1:7" x14ac:dyDescent="0.25">
      <c r="A94" s="21"/>
      <c r="B94" s="1"/>
      <c r="C94" s="96"/>
      <c r="D94" s="67"/>
      <c r="E94" s="67">
        <f t="shared" si="2"/>
        <v>0</v>
      </c>
      <c r="F94" s="45"/>
      <c r="G94" s="17"/>
    </row>
    <row r="95" spans="1:7" x14ac:dyDescent="0.25">
      <c r="A95" s="21"/>
      <c r="B95" s="1"/>
      <c r="C95" s="96"/>
      <c r="D95" s="67"/>
      <c r="E95" s="67">
        <f t="shared" si="2"/>
        <v>0</v>
      </c>
      <c r="F95" s="45"/>
      <c r="G95" s="17"/>
    </row>
    <row r="96" spans="1:7" x14ac:dyDescent="0.25">
      <c r="A96" s="21"/>
      <c r="B96" s="1"/>
      <c r="C96" s="96"/>
      <c r="D96" s="67"/>
      <c r="E96" s="67">
        <f t="shared" si="2"/>
        <v>0</v>
      </c>
      <c r="F96" s="45"/>
      <c r="G96" s="17"/>
    </row>
    <row r="97" spans="1:7" x14ac:dyDescent="0.25">
      <c r="A97" s="21"/>
      <c r="B97" s="1"/>
      <c r="C97" s="96"/>
      <c r="D97" s="67"/>
      <c r="E97" s="67">
        <f t="shared" si="2"/>
        <v>0</v>
      </c>
      <c r="F97" s="45"/>
      <c r="G97" s="17"/>
    </row>
    <row r="98" spans="1:7" x14ac:dyDescent="0.25">
      <c r="A98" s="21"/>
      <c r="B98" s="1"/>
      <c r="C98" s="96"/>
      <c r="D98" s="67"/>
      <c r="E98" s="67">
        <f t="shared" si="2"/>
        <v>0</v>
      </c>
      <c r="F98" s="45"/>
      <c r="G98" s="17"/>
    </row>
    <row r="99" spans="1:7" x14ac:dyDescent="0.25">
      <c r="A99" s="21"/>
      <c r="B99" s="1"/>
      <c r="C99" s="96"/>
      <c r="D99" s="67"/>
      <c r="E99" s="67">
        <f t="shared" si="2"/>
        <v>0</v>
      </c>
      <c r="F99" s="45"/>
      <c r="G99" s="17"/>
    </row>
    <row r="100" spans="1:7" x14ac:dyDescent="0.25">
      <c r="A100" s="21"/>
      <c r="D100" s="23"/>
      <c r="E100" s="23">
        <f t="shared" si="2"/>
        <v>0</v>
      </c>
      <c r="F100" s="45"/>
      <c r="G100" s="17"/>
    </row>
    <row r="101" spans="1:7" x14ac:dyDescent="0.25">
      <c r="A101" s="21"/>
      <c r="D101" s="23"/>
      <c r="E101" s="23">
        <f t="shared" si="2"/>
        <v>0</v>
      </c>
      <c r="F101" s="45"/>
      <c r="G101" s="17"/>
    </row>
    <row r="102" spans="1:7" x14ac:dyDescent="0.25">
      <c r="A102" s="21"/>
      <c r="D102" s="23"/>
      <c r="E102" s="23">
        <f t="shared" si="2"/>
        <v>0</v>
      </c>
      <c r="F102" s="45"/>
      <c r="G102" s="17"/>
    </row>
    <row r="103" spans="1:7" x14ac:dyDescent="0.25">
      <c r="A103" s="43"/>
      <c r="E103" s="20">
        <f t="shared" si="2"/>
        <v>0</v>
      </c>
      <c r="F103" s="45"/>
      <c r="G103" s="17"/>
    </row>
    <row r="104" spans="1:7" x14ac:dyDescent="0.25">
      <c r="A104" s="21"/>
      <c r="D104" s="23"/>
      <c r="E104" s="23">
        <f t="shared" si="2"/>
        <v>0</v>
      </c>
      <c r="F104" s="45"/>
      <c r="G104" s="17"/>
    </row>
    <row r="105" spans="1:7" x14ac:dyDescent="0.25">
      <c r="A105" s="21"/>
      <c r="D105" s="23"/>
      <c r="E105" s="23">
        <f t="shared" si="2"/>
        <v>0</v>
      </c>
      <c r="F105" s="45"/>
      <c r="G105" s="17"/>
    </row>
    <row r="106" spans="1:7" x14ac:dyDescent="0.25">
      <c r="A106" s="21"/>
      <c r="D106" s="23"/>
      <c r="E106" s="23">
        <f t="shared" si="2"/>
        <v>0</v>
      </c>
      <c r="G106" s="17"/>
    </row>
    <row r="107" spans="1:7" x14ac:dyDescent="0.25">
      <c r="A107" s="21"/>
      <c r="D107" s="23"/>
      <c r="E107" s="23">
        <f t="shared" si="2"/>
        <v>0</v>
      </c>
    </row>
    <row r="108" spans="1:7" x14ac:dyDescent="0.25">
      <c r="A108" s="21"/>
      <c r="D108" s="23"/>
      <c r="E108" s="23">
        <f t="shared" si="2"/>
        <v>0</v>
      </c>
    </row>
    <row r="109" spans="1:7" x14ac:dyDescent="0.25">
      <c r="A109" s="21"/>
      <c r="D109" s="23"/>
      <c r="E109" s="23">
        <f t="shared" si="2"/>
        <v>0</v>
      </c>
    </row>
    <row r="110" spans="1:7" x14ac:dyDescent="0.25">
      <c r="A110" s="21"/>
      <c r="D110" s="23"/>
      <c r="E110" s="23">
        <f t="shared" si="2"/>
        <v>0</v>
      </c>
    </row>
    <row r="111" spans="1:7" x14ac:dyDescent="0.25">
      <c r="A111" s="21"/>
      <c r="D111" s="23"/>
      <c r="E111" s="23">
        <f t="shared" si="2"/>
        <v>0</v>
      </c>
    </row>
    <row r="112" spans="1:7" x14ac:dyDescent="0.25">
      <c r="A112" s="21"/>
      <c r="D112" s="23"/>
      <c r="E112" s="23">
        <f t="shared" si="2"/>
        <v>0</v>
      </c>
    </row>
    <row r="113" spans="1:7" x14ac:dyDescent="0.25">
      <c r="A113" s="21"/>
      <c r="D113" s="23"/>
      <c r="E113" s="23">
        <f t="shared" si="2"/>
        <v>0</v>
      </c>
    </row>
    <row r="114" spans="1:7" x14ac:dyDescent="0.25">
      <c r="A114" s="21"/>
      <c r="D114" s="23"/>
      <c r="E114" s="23">
        <f t="shared" ref="E114:E145" si="3">C114*D114</f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67">
        <f t="shared" si="3"/>
        <v>0</v>
      </c>
    </row>
    <row r="122" spans="1:7" x14ac:dyDescent="0.25">
      <c r="A122" s="43"/>
      <c r="E122" s="67">
        <f t="shared" si="3"/>
        <v>0</v>
      </c>
    </row>
    <row r="123" spans="1:7" x14ac:dyDescent="0.25">
      <c r="A123" s="43"/>
      <c r="E123" s="67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67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67">
        <f t="shared" si="3"/>
        <v>0</v>
      </c>
      <c r="G130" s="27"/>
    </row>
    <row r="131" spans="1:7" x14ac:dyDescent="0.25">
      <c r="A131" s="43"/>
      <c r="E131" s="67">
        <f t="shared" si="3"/>
        <v>0</v>
      </c>
      <c r="G131" s="17"/>
    </row>
    <row r="132" spans="1:7" x14ac:dyDescent="0.25">
      <c r="E132" s="67">
        <f t="shared" si="3"/>
        <v>0</v>
      </c>
    </row>
    <row r="133" spans="1:7" x14ac:dyDescent="0.25">
      <c r="E133" s="67">
        <f t="shared" si="3"/>
        <v>0</v>
      </c>
    </row>
    <row r="134" spans="1:7" x14ac:dyDescent="0.25">
      <c r="E134" s="67">
        <f t="shared" si="3"/>
        <v>0</v>
      </c>
    </row>
    <row r="135" spans="1:7" x14ac:dyDescent="0.25">
      <c r="A135" s="43"/>
      <c r="E135" s="67">
        <f t="shared" si="3"/>
        <v>0</v>
      </c>
    </row>
    <row r="136" spans="1:7" x14ac:dyDescent="0.25">
      <c r="E136" s="67">
        <f t="shared" si="3"/>
        <v>0</v>
      </c>
    </row>
    <row r="137" spans="1:7" x14ac:dyDescent="0.25">
      <c r="E137" s="67">
        <f t="shared" si="3"/>
        <v>0</v>
      </c>
    </row>
    <row r="138" spans="1:7" x14ac:dyDescent="0.25">
      <c r="E138" s="67">
        <f t="shared" si="3"/>
        <v>0</v>
      </c>
    </row>
    <row r="139" spans="1:7" x14ac:dyDescent="0.25">
      <c r="E139" s="67">
        <f t="shared" si="3"/>
        <v>0</v>
      </c>
    </row>
    <row r="140" spans="1:7" x14ac:dyDescent="0.25">
      <c r="E140" s="67">
        <f t="shared" si="3"/>
        <v>0</v>
      </c>
    </row>
    <row r="141" spans="1:7" x14ac:dyDescent="0.25">
      <c r="A141" s="43"/>
      <c r="E141" s="67">
        <f t="shared" si="3"/>
        <v>0</v>
      </c>
    </row>
    <row r="142" spans="1:7" x14ac:dyDescent="0.25">
      <c r="E142" s="67">
        <f t="shared" si="3"/>
        <v>0</v>
      </c>
    </row>
    <row r="143" spans="1:7" x14ac:dyDescent="0.25">
      <c r="E143" s="67">
        <f t="shared" si="3"/>
        <v>0</v>
      </c>
    </row>
    <row r="144" spans="1:7" x14ac:dyDescent="0.25">
      <c r="E144" s="67">
        <f t="shared" si="3"/>
        <v>0</v>
      </c>
    </row>
    <row r="145" spans="5:5" x14ac:dyDescent="0.25">
      <c r="E145" s="67">
        <f t="shared" si="3"/>
        <v>0</v>
      </c>
    </row>
    <row r="146" spans="5:5" x14ac:dyDescent="0.25">
      <c r="E146" s="67">
        <f t="shared" ref="E146:E177" si="4">C146*D146</f>
        <v>0</v>
      </c>
    </row>
    <row r="147" spans="5:5" x14ac:dyDescent="0.25">
      <c r="E147" s="67"/>
    </row>
    <row r="148" spans="5:5" x14ac:dyDescent="0.25">
      <c r="E148" s="67"/>
    </row>
    <row r="149" spans="5:5" x14ac:dyDescent="0.25">
      <c r="E149" s="67"/>
    </row>
    <row r="150" spans="5:5" x14ac:dyDescent="0.25">
      <c r="E150" s="67"/>
    </row>
    <row r="151" spans="5:5" x14ac:dyDescent="0.25">
      <c r="E151" s="67"/>
    </row>
    <row r="199" spans="5:7" x14ac:dyDescent="0.25">
      <c r="E199" s="23">
        <f>SUM(E3:E198)</f>
        <v>357405000</v>
      </c>
      <c r="G199" s="27">
        <f>SUM(G3:G198)</f>
        <v>335175000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DEFE9-70C8-8A4B-A4FB-9FD963EF1BD8}">
  <dimension ref="A1:K200"/>
  <sheetViews>
    <sheetView zoomScaleNormal="100" zoomScaleSheetLayoutView="100" workbookViewId="0">
      <selection activeCell="A7" sqref="A7"/>
    </sheetView>
  </sheetViews>
  <sheetFormatPr defaultRowHeight="15" x14ac:dyDescent="0.25"/>
  <cols>
    <col min="1" max="1" width="10.7109375" bestFit="1" customWidth="1"/>
    <col min="2" max="2" width="18.5703125" customWidth="1"/>
    <col min="3" max="3" width="8.7109375" style="22" bestFit="1" customWidth="1"/>
    <col min="4" max="4" width="11.28515625" style="20" bestFit="1" customWidth="1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'Май 2024'!I3</f>
        <v>54686000</v>
      </c>
      <c r="F3" s="26">
        <v>45475</v>
      </c>
      <c r="G3" s="27">
        <v>9210000</v>
      </c>
      <c r="I3" s="110">
        <f>E199-G199</f>
        <v>28637000</v>
      </c>
      <c r="J3" s="111"/>
    </row>
    <row r="4" spans="1:11" x14ac:dyDescent="0.25">
      <c r="A4" s="21">
        <v>45476</v>
      </c>
      <c r="B4" t="s">
        <v>352</v>
      </c>
      <c r="C4" s="22">
        <v>60</v>
      </c>
      <c r="D4" s="23">
        <v>47000</v>
      </c>
      <c r="E4" s="23">
        <f>C4*D4</f>
        <v>2820000</v>
      </c>
      <c r="F4" s="26">
        <v>45476</v>
      </c>
      <c r="G4" s="27">
        <v>3000000</v>
      </c>
      <c r="I4" s="89" t="s">
        <v>132</v>
      </c>
      <c r="J4" s="90">
        <v>12750</v>
      </c>
    </row>
    <row r="5" spans="1:11" ht="15.75" thickBot="1" x14ac:dyDescent="0.3">
      <c r="A5" s="21">
        <v>45480</v>
      </c>
      <c r="B5" t="s">
        <v>353</v>
      </c>
      <c r="C5" s="22">
        <v>56</v>
      </c>
      <c r="D5" s="23">
        <v>40000</v>
      </c>
      <c r="E5" s="23">
        <f t="shared" ref="E5:E49" si="0">C5*D5</f>
        <v>2240000</v>
      </c>
      <c r="F5" s="26">
        <v>45477</v>
      </c>
      <c r="G5" s="27">
        <v>7950000</v>
      </c>
      <c r="I5" s="112">
        <f>I3/J4</f>
        <v>2246.0392156862745</v>
      </c>
      <c r="J5" s="113"/>
    </row>
    <row r="6" spans="1:11" ht="15.75" thickBot="1" x14ac:dyDescent="0.3">
      <c r="A6" s="21"/>
      <c r="B6" t="s">
        <v>354</v>
      </c>
      <c r="C6" s="22">
        <v>90</v>
      </c>
      <c r="D6" s="23">
        <v>40000</v>
      </c>
      <c r="E6" s="23">
        <f t="shared" si="0"/>
        <v>3600000</v>
      </c>
      <c r="F6" s="26">
        <v>45478</v>
      </c>
      <c r="G6" s="27">
        <v>2185000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/>
      <c r="B7" t="s">
        <v>352</v>
      </c>
      <c r="C7" s="22">
        <v>80</v>
      </c>
      <c r="D7" s="23">
        <v>47000</v>
      </c>
      <c r="E7" s="23">
        <f t="shared" si="0"/>
        <v>3760000</v>
      </c>
      <c r="F7" s="26">
        <v>45480</v>
      </c>
      <c r="G7" s="27">
        <v>1810000</v>
      </c>
    </row>
    <row r="8" spans="1:11" ht="15.75" thickBot="1" x14ac:dyDescent="0.3">
      <c r="A8" s="21"/>
      <c r="B8" t="s">
        <v>355</v>
      </c>
      <c r="C8" s="22">
        <v>4</v>
      </c>
      <c r="D8" s="23">
        <v>40000</v>
      </c>
      <c r="E8" s="23">
        <f t="shared" si="0"/>
        <v>160000</v>
      </c>
      <c r="F8" s="26">
        <v>45482</v>
      </c>
      <c r="G8" s="27">
        <v>3850000</v>
      </c>
      <c r="I8" s="29" t="s">
        <v>15</v>
      </c>
      <c r="J8" s="30">
        <f>I3-J6</f>
        <v>-6739000</v>
      </c>
    </row>
    <row r="9" spans="1:11" x14ac:dyDescent="0.25">
      <c r="A9" s="21">
        <v>45482</v>
      </c>
      <c r="B9" t="s">
        <v>352</v>
      </c>
      <c r="C9" s="22">
        <v>80</v>
      </c>
      <c r="D9" s="23">
        <v>47000</v>
      </c>
      <c r="E9" s="23">
        <f t="shared" si="0"/>
        <v>3760000</v>
      </c>
      <c r="F9" s="26">
        <v>45483</v>
      </c>
      <c r="G9" s="27">
        <v>3450000</v>
      </c>
      <c r="J9" s="7"/>
    </row>
    <row r="10" spans="1:11" ht="15.75" thickBot="1" x14ac:dyDescent="0.3">
      <c r="A10" s="43">
        <v>45484</v>
      </c>
      <c r="B10" t="s">
        <v>356</v>
      </c>
      <c r="C10" s="22">
        <v>124</v>
      </c>
      <c r="D10" s="20">
        <v>40000</v>
      </c>
      <c r="E10" s="23">
        <f t="shared" si="0"/>
        <v>4960000</v>
      </c>
      <c r="F10" s="26">
        <v>45484</v>
      </c>
      <c r="G10" s="27">
        <v>10360000</v>
      </c>
    </row>
    <row r="11" spans="1:11" ht="15.75" thickBot="1" x14ac:dyDescent="0.3">
      <c r="A11" s="21">
        <v>45487</v>
      </c>
      <c r="B11" t="s">
        <v>357</v>
      </c>
      <c r="C11" s="22">
        <v>120</v>
      </c>
      <c r="D11" s="23">
        <v>44000</v>
      </c>
      <c r="E11" s="23">
        <f t="shared" si="0"/>
        <v>5280000</v>
      </c>
      <c r="F11" s="26">
        <v>45485</v>
      </c>
      <c r="G11" s="27">
        <v>2250000</v>
      </c>
      <c r="I11" s="54" t="s">
        <v>66</v>
      </c>
      <c r="J11" s="55"/>
    </row>
    <row r="12" spans="1:11" x14ac:dyDescent="0.25">
      <c r="A12" s="21">
        <v>45489</v>
      </c>
      <c r="B12" t="s">
        <v>358</v>
      </c>
      <c r="C12" s="22">
        <v>200</v>
      </c>
      <c r="D12" s="23">
        <v>42000</v>
      </c>
      <c r="E12" s="23">
        <f t="shared" si="0"/>
        <v>8400000</v>
      </c>
      <c r="F12" s="26">
        <v>45486</v>
      </c>
      <c r="G12" s="27">
        <v>700000</v>
      </c>
    </row>
    <row r="13" spans="1:11" x14ac:dyDescent="0.25">
      <c r="A13" s="21">
        <v>45490</v>
      </c>
      <c r="B13" t="s">
        <v>359</v>
      </c>
      <c r="C13" s="22">
        <v>36</v>
      </c>
      <c r="D13" s="23">
        <v>52000</v>
      </c>
      <c r="E13" s="23">
        <f t="shared" si="0"/>
        <v>1872000</v>
      </c>
      <c r="F13" s="26">
        <v>45487</v>
      </c>
      <c r="G13" s="27">
        <v>4460000</v>
      </c>
    </row>
    <row r="14" spans="1:11" ht="15.75" thickBot="1" x14ac:dyDescent="0.3">
      <c r="A14" s="21">
        <v>45491</v>
      </c>
      <c r="B14" t="s">
        <v>359</v>
      </c>
      <c r="C14" s="22">
        <v>162</v>
      </c>
      <c r="D14" s="23">
        <v>52000</v>
      </c>
      <c r="E14" s="23">
        <f t="shared" si="0"/>
        <v>8424000</v>
      </c>
      <c r="F14" s="26">
        <v>45489</v>
      </c>
      <c r="G14" s="27">
        <v>3400000</v>
      </c>
    </row>
    <row r="15" spans="1:11" x14ac:dyDescent="0.25">
      <c r="A15" s="21">
        <v>45492</v>
      </c>
      <c r="B15" t="s">
        <v>358</v>
      </c>
      <c r="C15" s="22">
        <v>150</v>
      </c>
      <c r="D15" s="23">
        <v>42000</v>
      </c>
      <c r="E15" s="23">
        <f t="shared" si="0"/>
        <v>6300000</v>
      </c>
      <c r="F15" s="26">
        <v>45490</v>
      </c>
      <c r="G15" s="27">
        <v>12450000</v>
      </c>
      <c r="I15" s="114"/>
      <c r="J15" s="115"/>
    </row>
    <row r="16" spans="1:11" ht="15.75" thickBot="1" x14ac:dyDescent="0.3">
      <c r="A16" s="21"/>
      <c r="B16" t="s">
        <v>359</v>
      </c>
      <c r="C16" s="22">
        <v>24</v>
      </c>
      <c r="D16" s="23">
        <v>52000</v>
      </c>
      <c r="E16" s="23">
        <f t="shared" si="0"/>
        <v>1248000</v>
      </c>
      <c r="F16" s="26">
        <v>45491</v>
      </c>
      <c r="G16" s="27">
        <v>9700000</v>
      </c>
      <c r="I16" s="80"/>
      <c r="J16" s="81"/>
    </row>
    <row r="17" spans="1:8" x14ac:dyDescent="0.25">
      <c r="A17" s="21">
        <v>45493</v>
      </c>
      <c r="B17" t="s">
        <v>359</v>
      </c>
      <c r="C17" s="22">
        <v>98</v>
      </c>
      <c r="D17" s="23">
        <v>52000</v>
      </c>
      <c r="E17" s="23">
        <f t="shared" si="0"/>
        <v>5096000</v>
      </c>
      <c r="F17" s="26">
        <v>45492</v>
      </c>
      <c r="G17" s="27">
        <v>3200000</v>
      </c>
    </row>
    <row r="18" spans="1:8" x14ac:dyDescent="0.25">
      <c r="A18" s="21"/>
      <c r="B18" t="s">
        <v>358</v>
      </c>
      <c r="C18" s="22">
        <v>48</v>
      </c>
      <c r="D18" s="23">
        <v>42000</v>
      </c>
      <c r="E18" s="23">
        <f t="shared" si="0"/>
        <v>2016000</v>
      </c>
      <c r="F18" s="26">
        <v>45493</v>
      </c>
      <c r="G18" s="27">
        <v>9050000</v>
      </c>
    </row>
    <row r="19" spans="1:8" x14ac:dyDescent="0.25">
      <c r="A19" s="21">
        <v>45494</v>
      </c>
      <c r="B19" t="s">
        <v>359</v>
      </c>
      <c r="C19" s="22">
        <v>130</v>
      </c>
      <c r="D19" s="23">
        <v>52000</v>
      </c>
      <c r="E19" s="23">
        <f t="shared" si="0"/>
        <v>6760000</v>
      </c>
      <c r="F19" s="45">
        <v>45494</v>
      </c>
      <c r="G19" s="17">
        <v>12760000</v>
      </c>
    </row>
    <row r="20" spans="1:8" x14ac:dyDescent="0.25">
      <c r="A20" s="43"/>
      <c r="B20" t="s">
        <v>358</v>
      </c>
      <c r="C20" s="22">
        <v>106</v>
      </c>
      <c r="D20" s="20">
        <v>42000</v>
      </c>
      <c r="E20" s="23">
        <f t="shared" si="0"/>
        <v>4452000</v>
      </c>
      <c r="F20" s="26">
        <v>45496</v>
      </c>
      <c r="G20" s="27">
        <v>9550000</v>
      </c>
    </row>
    <row r="21" spans="1:8" x14ac:dyDescent="0.25">
      <c r="A21" s="21">
        <v>45496</v>
      </c>
      <c r="B21" t="s">
        <v>358</v>
      </c>
      <c r="C21" s="22">
        <v>80</v>
      </c>
      <c r="D21" s="23">
        <v>42000</v>
      </c>
      <c r="E21" s="23">
        <f t="shared" si="0"/>
        <v>3360000</v>
      </c>
      <c r="F21" s="26">
        <v>45497</v>
      </c>
      <c r="G21" s="27">
        <v>7000000</v>
      </c>
    </row>
    <row r="22" spans="1:8" x14ac:dyDescent="0.25">
      <c r="A22" s="21"/>
      <c r="B22" t="s">
        <v>359</v>
      </c>
      <c r="C22" s="22">
        <v>74</v>
      </c>
      <c r="D22" s="23">
        <v>52000</v>
      </c>
      <c r="E22" s="23">
        <f t="shared" si="0"/>
        <v>3848000</v>
      </c>
      <c r="F22" s="26">
        <v>45498</v>
      </c>
      <c r="G22" s="27">
        <v>14900000</v>
      </c>
    </row>
    <row r="23" spans="1:8" x14ac:dyDescent="0.25">
      <c r="A23" s="21"/>
      <c r="B23" t="s">
        <v>360</v>
      </c>
      <c r="C23" s="22">
        <v>118</v>
      </c>
      <c r="D23" s="23">
        <v>45000</v>
      </c>
      <c r="E23" s="23">
        <f t="shared" si="0"/>
        <v>5310000</v>
      </c>
      <c r="F23" s="26">
        <v>45499</v>
      </c>
      <c r="G23" s="27">
        <v>8050000</v>
      </c>
    </row>
    <row r="24" spans="1:8" x14ac:dyDescent="0.25">
      <c r="A24" s="21"/>
      <c r="B24" t="s">
        <v>361</v>
      </c>
      <c r="C24" s="22">
        <v>76</v>
      </c>
      <c r="D24" s="23">
        <v>55000</v>
      </c>
      <c r="E24" s="23">
        <f t="shared" si="0"/>
        <v>4180000</v>
      </c>
      <c r="F24" s="26">
        <v>45500</v>
      </c>
      <c r="G24" s="27">
        <v>5700000</v>
      </c>
    </row>
    <row r="25" spans="1:8" x14ac:dyDescent="0.25">
      <c r="A25" s="21">
        <v>45497</v>
      </c>
      <c r="B25" t="s">
        <v>358</v>
      </c>
      <c r="C25" s="22">
        <v>196</v>
      </c>
      <c r="D25" s="23">
        <v>42000</v>
      </c>
      <c r="E25" s="23">
        <f t="shared" si="0"/>
        <v>8232000</v>
      </c>
      <c r="F25" s="26">
        <v>45501</v>
      </c>
      <c r="G25" s="27">
        <v>9740000</v>
      </c>
    </row>
    <row r="26" spans="1:8" x14ac:dyDescent="0.25">
      <c r="A26" s="21"/>
      <c r="B26" t="s">
        <v>362</v>
      </c>
      <c r="C26" s="22">
        <v>18</v>
      </c>
      <c r="D26" s="23">
        <v>50000</v>
      </c>
      <c r="E26" s="23">
        <f t="shared" si="0"/>
        <v>900000</v>
      </c>
      <c r="F26" s="26">
        <v>45503</v>
      </c>
      <c r="G26" s="27">
        <v>8550000</v>
      </c>
    </row>
    <row r="27" spans="1:8" x14ac:dyDescent="0.25">
      <c r="A27" s="21"/>
      <c r="B27" t="s">
        <v>363</v>
      </c>
      <c r="C27" s="22">
        <v>30</v>
      </c>
      <c r="D27" s="23">
        <v>50000</v>
      </c>
      <c r="E27" s="23">
        <f t="shared" si="0"/>
        <v>1500000</v>
      </c>
      <c r="F27" s="26">
        <v>45504</v>
      </c>
      <c r="G27" s="27">
        <v>2350000</v>
      </c>
    </row>
    <row r="28" spans="1:8" x14ac:dyDescent="0.25">
      <c r="A28" s="21"/>
      <c r="B28" t="s">
        <v>364</v>
      </c>
      <c r="C28" s="22">
        <v>12</v>
      </c>
      <c r="D28" s="23">
        <v>40000</v>
      </c>
      <c r="E28" s="23">
        <f t="shared" si="0"/>
        <v>480000</v>
      </c>
      <c r="F28" s="45">
        <v>45505</v>
      </c>
      <c r="G28" s="17">
        <v>4800000</v>
      </c>
    </row>
    <row r="29" spans="1:8" x14ac:dyDescent="0.25">
      <c r="A29" s="21"/>
      <c r="B29" t="s">
        <v>365</v>
      </c>
      <c r="C29" s="22">
        <v>24</v>
      </c>
      <c r="D29" s="23">
        <v>40000</v>
      </c>
      <c r="E29" s="23">
        <f t="shared" si="0"/>
        <v>960000</v>
      </c>
      <c r="F29" s="26">
        <v>45506</v>
      </c>
      <c r="G29" s="27">
        <v>7900000</v>
      </c>
    </row>
    <row r="30" spans="1:8" x14ac:dyDescent="0.25">
      <c r="A30" s="21"/>
      <c r="B30" t="s">
        <v>366</v>
      </c>
      <c r="C30" s="22">
        <v>90</v>
      </c>
      <c r="D30" s="23">
        <v>40000</v>
      </c>
      <c r="E30" s="23">
        <f t="shared" si="0"/>
        <v>3600000</v>
      </c>
      <c r="F30" s="26">
        <v>45507</v>
      </c>
      <c r="G30" s="27">
        <v>970000</v>
      </c>
    </row>
    <row r="31" spans="1:8" x14ac:dyDescent="0.25">
      <c r="A31" s="21">
        <v>45498</v>
      </c>
      <c r="B31" t="s">
        <v>359</v>
      </c>
      <c r="C31" s="22">
        <v>128</v>
      </c>
      <c r="D31" s="23">
        <v>52000</v>
      </c>
      <c r="E31" s="23">
        <f t="shared" si="0"/>
        <v>6656000</v>
      </c>
      <c r="F31" s="85" t="s">
        <v>270</v>
      </c>
      <c r="G31" s="86">
        <v>22721000</v>
      </c>
      <c r="H31" t="s">
        <v>372</v>
      </c>
    </row>
    <row r="32" spans="1:8" x14ac:dyDescent="0.25">
      <c r="A32" s="43"/>
      <c r="B32" t="s">
        <v>358</v>
      </c>
      <c r="C32" s="22">
        <v>42</v>
      </c>
      <c r="D32" s="20">
        <v>42000</v>
      </c>
      <c r="E32" s="23">
        <f t="shared" si="0"/>
        <v>1764000</v>
      </c>
      <c r="F32" s="26">
        <v>45508</v>
      </c>
      <c r="G32" s="27">
        <v>11680000</v>
      </c>
    </row>
    <row r="33" spans="1:7" x14ac:dyDescent="0.25">
      <c r="A33" s="21">
        <v>45499</v>
      </c>
      <c r="B33" t="s">
        <v>359</v>
      </c>
      <c r="C33" s="22">
        <v>86</v>
      </c>
      <c r="D33" s="23">
        <v>52000</v>
      </c>
      <c r="E33" s="23">
        <f t="shared" si="0"/>
        <v>4472000</v>
      </c>
      <c r="F33" s="26">
        <v>45510</v>
      </c>
      <c r="G33" s="27">
        <v>4600000</v>
      </c>
    </row>
    <row r="34" spans="1:7" x14ac:dyDescent="0.25">
      <c r="A34" s="21">
        <v>45500</v>
      </c>
      <c r="B34" t="s">
        <v>359</v>
      </c>
      <c r="C34" s="22">
        <v>112</v>
      </c>
      <c r="D34" s="23">
        <v>52000</v>
      </c>
      <c r="E34" s="23">
        <f t="shared" si="0"/>
        <v>5824000</v>
      </c>
      <c r="F34" s="26">
        <v>45511</v>
      </c>
      <c r="G34" s="27">
        <v>600000</v>
      </c>
    </row>
    <row r="35" spans="1:7" x14ac:dyDescent="0.25">
      <c r="A35" s="21"/>
      <c r="B35" t="s">
        <v>358</v>
      </c>
      <c r="C35" s="22">
        <v>70</v>
      </c>
      <c r="D35" s="23">
        <v>42000</v>
      </c>
      <c r="E35" s="23">
        <f t="shared" si="0"/>
        <v>2940000</v>
      </c>
      <c r="F35" s="26">
        <v>45512</v>
      </c>
      <c r="G35" s="27">
        <v>14600000</v>
      </c>
    </row>
    <row r="36" spans="1:7" x14ac:dyDescent="0.25">
      <c r="A36" s="21">
        <v>45501</v>
      </c>
      <c r="B36" t="s">
        <v>359</v>
      </c>
      <c r="C36" s="22">
        <v>56</v>
      </c>
      <c r="D36" s="23">
        <v>52000</v>
      </c>
      <c r="E36" s="23">
        <f t="shared" si="0"/>
        <v>2912000</v>
      </c>
      <c r="F36" s="26">
        <v>45513</v>
      </c>
      <c r="G36" s="27">
        <v>400000</v>
      </c>
    </row>
    <row r="37" spans="1:7" x14ac:dyDescent="0.25">
      <c r="A37" s="21"/>
      <c r="B37" t="s">
        <v>358</v>
      </c>
      <c r="C37" s="22">
        <v>100</v>
      </c>
      <c r="D37" s="23">
        <v>42000</v>
      </c>
      <c r="E37" s="23">
        <f t="shared" si="0"/>
        <v>4200000</v>
      </c>
      <c r="F37" s="26">
        <v>45514</v>
      </c>
      <c r="G37" s="27">
        <v>3350000</v>
      </c>
    </row>
    <row r="38" spans="1:7" x14ac:dyDescent="0.25">
      <c r="A38" s="21">
        <v>45503</v>
      </c>
      <c r="B38" t="s">
        <v>358</v>
      </c>
      <c r="C38" s="22">
        <v>110</v>
      </c>
      <c r="D38" s="23">
        <v>42000</v>
      </c>
      <c r="E38" s="23">
        <f t="shared" si="0"/>
        <v>4620000</v>
      </c>
      <c r="F38" s="26">
        <v>45515</v>
      </c>
      <c r="G38" s="27">
        <f>1270000+3375000</f>
        <v>4645000</v>
      </c>
    </row>
    <row r="39" spans="1:7" x14ac:dyDescent="0.25">
      <c r="A39" s="21"/>
      <c r="B39" t="s">
        <v>359</v>
      </c>
      <c r="C39" s="22">
        <v>84</v>
      </c>
      <c r="D39" s="23">
        <v>52000</v>
      </c>
      <c r="E39" s="23">
        <f t="shared" si="0"/>
        <v>4368000</v>
      </c>
      <c r="F39" s="26">
        <v>45517</v>
      </c>
      <c r="G39" s="27">
        <v>3130000</v>
      </c>
    </row>
    <row r="40" spans="1:7" x14ac:dyDescent="0.25">
      <c r="A40" s="21"/>
      <c r="B40" t="s">
        <v>367</v>
      </c>
      <c r="C40" s="22">
        <v>120</v>
      </c>
      <c r="D40" s="23">
        <v>50000</v>
      </c>
      <c r="E40" s="23">
        <f t="shared" si="0"/>
        <v>6000000</v>
      </c>
      <c r="F40" s="26">
        <v>45518</v>
      </c>
      <c r="G40" s="27">
        <v>3900000</v>
      </c>
    </row>
    <row r="41" spans="1:7" x14ac:dyDescent="0.25">
      <c r="A41" s="21">
        <v>45504</v>
      </c>
      <c r="B41" t="s">
        <v>367</v>
      </c>
      <c r="C41" s="22">
        <v>120</v>
      </c>
      <c r="D41" s="23">
        <v>50000</v>
      </c>
      <c r="E41" s="23">
        <f t="shared" si="0"/>
        <v>6000000</v>
      </c>
      <c r="F41" s="45">
        <v>45519</v>
      </c>
      <c r="G41" s="17">
        <v>5000000</v>
      </c>
    </row>
    <row r="42" spans="1:7" x14ac:dyDescent="0.25">
      <c r="A42" s="21"/>
      <c r="B42" t="s">
        <v>357</v>
      </c>
      <c r="C42" s="22">
        <v>120</v>
      </c>
      <c r="D42" s="23">
        <v>44000</v>
      </c>
      <c r="E42" s="23">
        <f t="shared" si="0"/>
        <v>5280000</v>
      </c>
      <c r="F42" s="26">
        <v>45520</v>
      </c>
      <c r="G42" s="27">
        <v>2880000</v>
      </c>
    </row>
    <row r="43" spans="1:7" x14ac:dyDescent="0.25">
      <c r="A43" s="21">
        <v>45505</v>
      </c>
      <c r="B43" t="s">
        <v>368</v>
      </c>
      <c r="C43" s="22">
        <v>106</v>
      </c>
      <c r="D43" s="23">
        <v>56000</v>
      </c>
      <c r="E43" s="23">
        <f t="shared" si="0"/>
        <v>5936000</v>
      </c>
      <c r="F43" s="26">
        <v>45521</v>
      </c>
      <c r="G43" s="27">
        <v>500000</v>
      </c>
    </row>
    <row r="44" spans="1:7" x14ac:dyDescent="0.25">
      <c r="A44" s="21"/>
      <c r="B44" t="s">
        <v>359</v>
      </c>
      <c r="C44" s="22">
        <v>90</v>
      </c>
      <c r="D44" s="23">
        <v>52000</v>
      </c>
      <c r="E44" s="23">
        <f t="shared" si="0"/>
        <v>4680000</v>
      </c>
      <c r="F44" s="26">
        <v>45522</v>
      </c>
      <c r="G44" s="27">
        <v>2820000</v>
      </c>
    </row>
    <row r="45" spans="1:7" x14ac:dyDescent="0.25">
      <c r="A45" s="21"/>
      <c r="B45" t="s">
        <v>369</v>
      </c>
      <c r="C45" s="22">
        <v>78</v>
      </c>
      <c r="D45" s="23">
        <v>57000</v>
      </c>
      <c r="E45" s="23">
        <f t="shared" si="0"/>
        <v>4446000</v>
      </c>
      <c r="F45" s="85">
        <v>45524</v>
      </c>
      <c r="G45" s="86">
        <v>16310000</v>
      </c>
    </row>
    <row r="46" spans="1:7" x14ac:dyDescent="0.25">
      <c r="A46" s="21">
        <v>45507</v>
      </c>
      <c r="B46" t="s">
        <v>359</v>
      </c>
      <c r="C46" s="22">
        <v>90</v>
      </c>
      <c r="D46" s="23">
        <v>52000</v>
      </c>
      <c r="E46" s="23">
        <f t="shared" si="0"/>
        <v>4680000</v>
      </c>
      <c r="F46" s="26">
        <v>45525</v>
      </c>
      <c r="G46" s="27">
        <f>7150000+1700000</f>
        <v>8850000</v>
      </c>
    </row>
    <row r="47" spans="1:7" x14ac:dyDescent="0.25">
      <c r="A47" s="21">
        <v>45508</v>
      </c>
      <c r="B47" t="s">
        <v>370</v>
      </c>
      <c r="C47" s="22">
        <v>58</v>
      </c>
      <c r="D47" s="23">
        <v>60000</v>
      </c>
      <c r="E47" s="23">
        <f t="shared" si="0"/>
        <v>3480000</v>
      </c>
      <c r="F47" s="26">
        <v>45526</v>
      </c>
      <c r="G47" s="27">
        <v>10650000</v>
      </c>
    </row>
    <row r="48" spans="1:7" x14ac:dyDescent="0.25">
      <c r="A48" s="21"/>
      <c r="B48" t="s">
        <v>371</v>
      </c>
      <c r="C48" s="22">
        <v>80</v>
      </c>
      <c r="D48" s="23">
        <v>55000</v>
      </c>
      <c r="E48" s="23">
        <f t="shared" si="0"/>
        <v>4400000</v>
      </c>
      <c r="F48" s="26">
        <v>45527</v>
      </c>
      <c r="G48" s="27">
        <v>6500000</v>
      </c>
    </row>
    <row r="49" spans="1:7" x14ac:dyDescent="0.25">
      <c r="A49" s="103">
        <v>45486</v>
      </c>
      <c r="B49" s="104" t="s">
        <v>354</v>
      </c>
      <c r="C49" s="105">
        <v>116</v>
      </c>
      <c r="D49" s="106">
        <v>40000</v>
      </c>
      <c r="E49" s="106">
        <f t="shared" si="0"/>
        <v>4640000</v>
      </c>
      <c r="F49" s="45">
        <v>45528</v>
      </c>
      <c r="G49" s="17">
        <v>11850000</v>
      </c>
    </row>
    <row r="50" spans="1:7" x14ac:dyDescent="0.25">
      <c r="A50" s="21">
        <v>45511</v>
      </c>
      <c r="B50" t="s">
        <v>358</v>
      </c>
      <c r="C50" s="22">
        <v>80</v>
      </c>
      <c r="D50" s="23">
        <v>42000</v>
      </c>
      <c r="E50" s="23">
        <f t="shared" ref="E50:E81" si="1">C50*D50</f>
        <v>3360000</v>
      </c>
      <c r="F50" s="26">
        <v>45529</v>
      </c>
      <c r="G50" s="27">
        <v>2950000</v>
      </c>
    </row>
    <row r="51" spans="1:7" x14ac:dyDescent="0.25">
      <c r="A51" s="21"/>
      <c r="B51" t="s">
        <v>371</v>
      </c>
      <c r="C51" s="22">
        <v>138</v>
      </c>
      <c r="D51" s="23">
        <v>55000</v>
      </c>
      <c r="E51" s="23">
        <f t="shared" si="1"/>
        <v>7590000</v>
      </c>
      <c r="F51" s="85">
        <v>45531</v>
      </c>
      <c r="G51" s="86">
        <v>22276000</v>
      </c>
    </row>
    <row r="52" spans="1:7" x14ac:dyDescent="0.25">
      <c r="A52" s="43"/>
      <c r="B52" t="s">
        <v>370</v>
      </c>
      <c r="C52" s="22">
        <v>104</v>
      </c>
      <c r="D52" s="23">
        <v>60000</v>
      </c>
      <c r="E52" s="23">
        <f t="shared" si="1"/>
        <v>6240000</v>
      </c>
      <c r="F52" s="26">
        <v>45532</v>
      </c>
      <c r="G52" s="27">
        <v>8300000</v>
      </c>
    </row>
    <row r="53" spans="1:7" x14ac:dyDescent="0.25">
      <c r="A53" s="21"/>
      <c r="B53" t="s">
        <v>369</v>
      </c>
      <c r="C53" s="22">
        <v>6</v>
      </c>
      <c r="D53" s="23">
        <v>57000</v>
      </c>
      <c r="E53" s="23">
        <f t="shared" si="1"/>
        <v>342000</v>
      </c>
      <c r="F53" s="26">
        <v>45533</v>
      </c>
      <c r="G53" s="27">
        <v>10450000</v>
      </c>
    </row>
    <row r="54" spans="1:7" x14ac:dyDescent="0.25">
      <c r="A54" s="21">
        <v>45513</v>
      </c>
      <c r="B54" t="s">
        <v>371</v>
      </c>
      <c r="C54" s="22">
        <v>50</v>
      </c>
      <c r="D54" s="23">
        <v>55000</v>
      </c>
      <c r="E54" s="23">
        <f t="shared" si="1"/>
        <v>2750000</v>
      </c>
      <c r="F54" s="26">
        <v>45534</v>
      </c>
      <c r="G54" s="27">
        <f>10100000+1270000</f>
        <v>11370000</v>
      </c>
    </row>
    <row r="55" spans="1:7" x14ac:dyDescent="0.25">
      <c r="A55" s="21"/>
      <c r="B55" t="s">
        <v>358</v>
      </c>
      <c r="C55" s="22">
        <v>88</v>
      </c>
      <c r="D55" s="23">
        <v>42000</v>
      </c>
      <c r="E55" s="23">
        <f t="shared" si="1"/>
        <v>3696000</v>
      </c>
      <c r="F55" s="26">
        <v>45535</v>
      </c>
      <c r="G55" s="27">
        <v>8094000</v>
      </c>
    </row>
    <row r="56" spans="1:7" x14ac:dyDescent="0.25">
      <c r="A56" s="21">
        <v>45514</v>
      </c>
      <c r="B56" t="s">
        <v>373</v>
      </c>
      <c r="C56" s="22">
        <v>108</v>
      </c>
      <c r="D56" s="23">
        <v>54000</v>
      </c>
      <c r="E56" s="23">
        <f t="shared" si="1"/>
        <v>5832000</v>
      </c>
      <c r="F56" s="26"/>
      <c r="G56" s="27"/>
    </row>
    <row r="57" spans="1:7" x14ac:dyDescent="0.25">
      <c r="A57" s="21">
        <v>45517</v>
      </c>
      <c r="B57" t="s">
        <v>358</v>
      </c>
      <c r="C57" s="22">
        <v>172</v>
      </c>
      <c r="D57" s="23">
        <v>42000</v>
      </c>
      <c r="E57" s="23">
        <f t="shared" si="1"/>
        <v>7224000</v>
      </c>
      <c r="F57" s="94"/>
      <c r="G57" s="95"/>
    </row>
    <row r="58" spans="1:7" x14ac:dyDescent="0.25">
      <c r="A58" s="21">
        <v>45519</v>
      </c>
      <c r="B58" t="s">
        <v>371</v>
      </c>
      <c r="C58" s="22">
        <v>78</v>
      </c>
      <c r="D58" s="23">
        <v>55000</v>
      </c>
      <c r="E58" s="23">
        <f t="shared" si="1"/>
        <v>4290000</v>
      </c>
      <c r="F58" s="26"/>
      <c r="G58" s="27"/>
    </row>
    <row r="59" spans="1:7" x14ac:dyDescent="0.25">
      <c r="A59" s="21">
        <v>45520</v>
      </c>
      <c r="B59" t="s">
        <v>359</v>
      </c>
      <c r="C59" s="22">
        <v>66</v>
      </c>
      <c r="D59" s="23">
        <v>52000</v>
      </c>
      <c r="E59" s="23">
        <f t="shared" si="1"/>
        <v>3432000</v>
      </c>
      <c r="F59" s="26"/>
      <c r="G59" s="27"/>
    </row>
    <row r="60" spans="1:7" x14ac:dyDescent="0.25">
      <c r="A60" s="21">
        <v>45522</v>
      </c>
      <c r="B60" t="s">
        <v>359</v>
      </c>
      <c r="C60" s="22">
        <v>66</v>
      </c>
      <c r="D60" s="23">
        <v>52000</v>
      </c>
      <c r="E60" s="23">
        <f t="shared" si="1"/>
        <v>3432000</v>
      </c>
      <c r="F60" s="26"/>
      <c r="G60" s="27"/>
    </row>
    <row r="61" spans="1:7" x14ac:dyDescent="0.25">
      <c r="A61" s="21">
        <v>45524</v>
      </c>
      <c r="B61" t="s">
        <v>374</v>
      </c>
      <c r="C61" s="22">
        <v>80</v>
      </c>
      <c r="D61" s="23">
        <v>62000</v>
      </c>
      <c r="E61" s="23">
        <f t="shared" si="1"/>
        <v>4960000</v>
      </c>
      <c r="F61" s="26"/>
      <c r="G61" s="27"/>
    </row>
    <row r="62" spans="1:7" x14ac:dyDescent="0.25">
      <c r="A62" s="21"/>
      <c r="B62" t="s">
        <v>375</v>
      </c>
      <c r="C62" s="22">
        <v>80</v>
      </c>
      <c r="D62" s="23">
        <v>45000</v>
      </c>
      <c r="E62" s="23">
        <f t="shared" si="1"/>
        <v>3600000</v>
      </c>
      <c r="F62" s="26"/>
      <c r="G62" s="27"/>
    </row>
    <row r="63" spans="1:7" x14ac:dyDescent="0.25">
      <c r="A63" s="21">
        <v>45525</v>
      </c>
      <c r="B63" t="s">
        <v>375</v>
      </c>
      <c r="C63" s="22">
        <v>76</v>
      </c>
      <c r="D63" s="23">
        <v>45000</v>
      </c>
      <c r="E63" s="23">
        <f t="shared" si="1"/>
        <v>3420000</v>
      </c>
      <c r="F63" s="85"/>
      <c r="G63" s="86"/>
    </row>
    <row r="64" spans="1:7" x14ac:dyDescent="0.25">
      <c r="A64" s="43"/>
      <c r="B64" t="s">
        <v>374</v>
      </c>
      <c r="C64" s="22">
        <v>96</v>
      </c>
      <c r="D64" s="20">
        <v>62000</v>
      </c>
      <c r="E64" s="67">
        <f t="shared" si="1"/>
        <v>5952000</v>
      </c>
      <c r="F64" s="45"/>
      <c r="G64" s="17"/>
    </row>
    <row r="65" spans="1:7" x14ac:dyDescent="0.25">
      <c r="A65" s="21">
        <v>45526</v>
      </c>
      <c r="B65" t="s">
        <v>358</v>
      </c>
      <c r="C65" s="22">
        <v>98</v>
      </c>
      <c r="D65" s="23">
        <v>42000</v>
      </c>
      <c r="E65" s="23">
        <f t="shared" si="1"/>
        <v>4116000</v>
      </c>
      <c r="F65" s="26"/>
      <c r="G65" s="27"/>
    </row>
    <row r="66" spans="1:7" x14ac:dyDescent="0.25">
      <c r="A66" s="21"/>
      <c r="B66" t="s">
        <v>374</v>
      </c>
      <c r="C66" s="22">
        <v>12</v>
      </c>
      <c r="D66" s="23">
        <v>62000</v>
      </c>
      <c r="E66" s="23">
        <f t="shared" si="1"/>
        <v>744000</v>
      </c>
      <c r="F66" s="26"/>
      <c r="G66" s="27"/>
    </row>
    <row r="67" spans="1:7" x14ac:dyDescent="0.25">
      <c r="A67" s="43"/>
      <c r="B67" t="s">
        <v>375</v>
      </c>
      <c r="C67" s="22">
        <v>84</v>
      </c>
      <c r="D67" s="20">
        <v>45000</v>
      </c>
      <c r="E67" s="20">
        <f t="shared" si="1"/>
        <v>3780000</v>
      </c>
      <c r="F67" s="26"/>
      <c r="G67" s="27"/>
    </row>
    <row r="68" spans="1:7" x14ac:dyDescent="0.25">
      <c r="A68" s="21">
        <v>45527</v>
      </c>
      <c r="B68" t="s">
        <v>376</v>
      </c>
      <c r="C68" s="22">
        <v>120</v>
      </c>
      <c r="D68" s="23">
        <v>37000</v>
      </c>
      <c r="E68" s="23">
        <f t="shared" si="1"/>
        <v>4440000</v>
      </c>
      <c r="F68" s="26"/>
      <c r="G68" s="27"/>
    </row>
    <row r="69" spans="1:7" x14ac:dyDescent="0.25">
      <c r="A69" s="21"/>
      <c r="B69" t="s">
        <v>377</v>
      </c>
      <c r="C69" s="22">
        <v>76</v>
      </c>
      <c r="D69" s="23">
        <v>60000</v>
      </c>
      <c r="E69" s="23">
        <f t="shared" si="1"/>
        <v>4560000</v>
      </c>
      <c r="F69" s="26"/>
      <c r="G69" s="27"/>
    </row>
    <row r="70" spans="1:7" x14ac:dyDescent="0.25">
      <c r="A70" s="99">
        <v>45528</v>
      </c>
      <c r="B70" s="100" t="s">
        <v>378</v>
      </c>
      <c r="C70" s="101">
        <v>38</v>
      </c>
      <c r="D70" s="102">
        <v>65000</v>
      </c>
      <c r="E70" s="102">
        <f t="shared" si="1"/>
        <v>2470000</v>
      </c>
      <c r="F70" s="26"/>
      <c r="G70" s="27"/>
    </row>
    <row r="71" spans="1:7" x14ac:dyDescent="0.25">
      <c r="A71" s="21"/>
      <c r="B71" t="s">
        <v>374</v>
      </c>
      <c r="C71" s="22">
        <v>46</v>
      </c>
      <c r="D71" s="23">
        <v>62000</v>
      </c>
      <c r="E71" s="23">
        <f t="shared" si="1"/>
        <v>2852000</v>
      </c>
      <c r="F71" s="26"/>
      <c r="G71" s="27"/>
    </row>
    <row r="72" spans="1:7" x14ac:dyDescent="0.25">
      <c r="A72" s="82"/>
      <c r="B72" s="50" t="s">
        <v>375</v>
      </c>
      <c r="C72" s="83">
        <v>20</v>
      </c>
      <c r="D72" s="84">
        <v>45000</v>
      </c>
      <c r="E72" s="84">
        <f t="shared" si="1"/>
        <v>900000</v>
      </c>
      <c r="F72" s="45"/>
      <c r="G72" s="17"/>
    </row>
    <row r="73" spans="1:7" x14ac:dyDescent="0.25">
      <c r="A73" s="21">
        <v>45529</v>
      </c>
      <c r="B73" t="s">
        <v>375</v>
      </c>
      <c r="C73" s="22">
        <v>80</v>
      </c>
      <c r="D73" s="23">
        <v>45000</v>
      </c>
      <c r="E73" s="23">
        <f t="shared" si="1"/>
        <v>3600000</v>
      </c>
      <c r="F73" s="26"/>
      <c r="G73" s="27"/>
    </row>
    <row r="74" spans="1:7" x14ac:dyDescent="0.25">
      <c r="A74" s="43"/>
      <c r="B74" t="s">
        <v>378</v>
      </c>
      <c r="C74" s="22">
        <v>50</v>
      </c>
      <c r="D74" s="20">
        <v>65000</v>
      </c>
      <c r="E74" s="20">
        <f t="shared" si="1"/>
        <v>3250000</v>
      </c>
      <c r="F74" s="26"/>
      <c r="G74" s="27"/>
    </row>
    <row r="75" spans="1:7" x14ac:dyDescent="0.25">
      <c r="A75" s="21"/>
      <c r="B75" t="s">
        <v>379</v>
      </c>
      <c r="C75" s="22">
        <v>150</v>
      </c>
      <c r="D75" s="23">
        <v>41000</v>
      </c>
      <c r="E75" s="23">
        <f t="shared" si="1"/>
        <v>6150000</v>
      </c>
      <c r="F75" s="26"/>
      <c r="G75" s="27"/>
    </row>
    <row r="76" spans="1:7" x14ac:dyDescent="0.25">
      <c r="A76" s="21"/>
      <c r="B76" t="s">
        <v>156</v>
      </c>
      <c r="C76" s="22">
        <v>96</v>
      </c>
      <c r="D76" s="23">
        <v>44000</v>
      </c>
      <c r="E76" s="23">
        <f t="shared" si="1"/>
        <v>4224000</v>
      </c>
      <c r="F76" s="26"/>
      <c r="G76" s="27"/>
    </row>
    <row r="77" spans="1:7" x14ac:dyDescent="0.25">
      <c r="A77" s="21"/>
      <c r="B77" t="s">
        <v>367</v>
      </c>
      <c r="C77" s="22">
        <v>40</v>
      </c>
      <c r="D77" s="23">
        <v>50000</v>
      </c>
      <c r="E77" s="23">
        <f t="shared" si="1"/>
        <v>2000000</v>
      </c>
      <c r="F77" s="26"/>
      <c r="G77" s="27"/>
    </row>
    <row r="78" spans="1:7" x14ac:dyDescent="0.25">
      <c r="A78" s="21">
        <v>45531</v>
      </c>
      <c r="B78" t="s">
        <v>374</v>
      </c>
      <c r="C78" s="22">
        <v>24</v>
      </c>
      <c r="D78" s="23">
        <v>62000</v>
      </c>
      <c r="E78" s="23">
        <f t="shared" si="1"/>
        <v>1488000</v>
      </c>
      <c r="F78" s="26"/>
      <c r="G78" s="27"/>
    </row>
    <row r="79" spans="1:7" x14ac:dyDescent="0.25">
      <c r="A79" s="43"/>
      <c r="B79" t="s">
        <v>378</v>
      </c>
      <c r="C79" s="22">
        <v>54</v>
      </c>
      <c r="D79" s="20">
        <v>65000</v>
      </c>
      <c r="E79" s="20">
        <f t="shared" si="1"/>
        <v>3510000</v>
      </c>
      <c r="F79" s="26"/>
      <c r="G79" s="27"/>
    </row>
    <row r="80" spans="1:7" x14ac:dyDescent="0.25">
      <c r="A80" s="21">
        <v>45532</v>
      </c>
      <c r="B80" t="s">
        <v>379</v>
      </c>
      <c r="C80" s="22">
        <v>90</v>
      </c>
      <c r="D80" s="23">
        <v>41000</v>
      </c>
      <c r="E80" s="23">
        <f t="shared" si="1"/>
        <v>3690000</v>
      </c>
      <c r="F80" s="45"/>
      <c r="G80" s="17"/>
    </row>
    <row r="81" spans="1:7" x14ac:dyDescent="0.25">
      <c r="A81" s="21"/>
      <c r="B81" t="s">
        <v>374</v>
      </c>
      <c r="C81" s="22">
        <v>20</v>
      </c>
      <c r="D81" s="23">
        <v>62000</v>
      </c>
      <c r="E81" s="23">
        <f t="shared" si="1"/>
        <v>1240000</v>
      </c>
      <c r="F81" s="26"/>
      <c r="G81" s="17"/>
    </row>
    <row r="82" spans="1:7" x14ac:dyDescent="0.25">
      <c r="A82" s="21"/>
      <c r="B82" t="s">
        <v>378</v>
      </c>
      <c r="C82" s="22">
        <v>20</v>
      </c>
      <c r="D82" s="23">
        <v>65000</v>
      </c>
      <c r="E82" s="23">
        <f t="shared" ref="E82:E113" si="2">C82*D82</f>
        <v>1300000</v>
      </c>
      <c r="F82" s="26"/>
      <c r="G82" s="17"/>
    </row>
    <row r="83" spans="1:7" x14ac:dyDescent="0.25">
      <c r="A83" s="21">
        <v>45533</v>
      </c>
      <c r="B83" t="s">
        <v>156</v>
      </c>
      <c r="C83" s="22">
        <v>104</v>
      </c>
      <c r="D83" s="23">
        <v>44000</v>
      </c>
      <c r="E83" s="23">
        <f t="shared" si="2"/>
        <v>4576000</v>
      </c>
      <c r="F83" s="45"/>
      <c r="G83" s="17"/>
    </row>
    <row r="84" spans="1:7" x14ac:dyDescent="0.25">
      <c r="A84" s="21"/>
      <c r="B84" t="s">
        <v>367</v>
      </c>
      <c r="C84" s="22">
        <v>90</v>
      </c>
      <c r="D84" s="23">
        <v>50000</v>
      </c>
      <c r="E84" s="23">
        <f t="shared" si="2"/>
        <v>4500000</v>
      </c>
      <c r="F84" s="45"/>
      <c r="G84" s="17"/>
    </row>
    <row r="85" spans="1:7" x14ac:dyDescent="0.25">
      <c r="A85" s="21"/>
      <c r="B85" t="s">
        <v>384</v>
      </c>
      <c r="C85" s="22">
        <v>68</v>
      </c>
      <c r="D85" s="23">
        <v>60000</v>
      </c>
      <c r="E85" s="23">
        <f t="shared" si="2"/>
        <v>4080000</v>
      </c>
      <c r="F85" s="45"/>
      <c r="G85" s="17"/>
    </row>
    <row r="86" spans="1:7" x14ac:dyDescent="0.25">
      <c r="A86" s="21"/>
      <c r="B86" t="s">
        <v>383</v>
      </c>
      <c r="C86" s="22">
        <v>40</v>
      </c>
      <c r="D86" s="23">
        <v>60000</v>
      </c>
      <c r="E86" s="23">
        <f t="shared" si="2"/>
        <v>2400000</v>
      </c>
      <c r="F86" s="45"/>
      <c r="G86" s="17"/>
    </row>
    <row r="87" spans="1:7" x14ac:dyDescent="0.25">
      <c r="A87" s="21"/>
      <c r="B87" t="s">
        <v>278</v>
      </c>
      <c r="C87" s="22">
        <v>18</v>
      </c>
      <c r="D87" s="23">
        <v>55000</v>
      </c>
      <c r="E87" s="23">
        <f t="shared" si="2"/>
        <v>990000</v>
      </c>
      <c r="F87" s="45"/>
      <c r="G87" s="17"/>
    </row>
    <row r="88" spans="1:7" x14ac:dyDescent="0.25">
      <c r="A88" s="21">
        <v>45534</v>
      </c>
      <c r="B88" t="s">
        <v>379</v>
      </c>
      <c r="C88" s="22">
        <v>166</v>
      </c>
      <c r="D88" s="23">
        <v>41000</v>
      </c>
      <c r="E88" s="23">
        <f t="shared" si="2"/>
        <v>6806000</v>
      </c>
      <c r="F88" s="45"/>
      <c r="G88" s="17"/>
    </row>
    <row r="89" spans="1:7" x14ac:dyDescent="0.25">
      <c r="A89" s="21"/>
      <c r="B89" t="s">
        <v>374</v>
      </c>
      <c r="C89" s="22">
        <v>40</v>
      </c>
      <c r="D89" s="23">
        <v>62000</v>
      </c>
      <c r="E89" s="23">
        <f t="shared" si="2"/>
        <v>2480000</v>
      </c>
      <c r="F89" s="45"/>
      <c r="G89" s="17"/>
    </row>
    <row r="90" spans="1:7" x14ac:dyDescent="0.25">
      <c r="A90" s="43"/>
      <c r="B90" s="1" t="s">
        <v>383</v>
      </c>
      <c r="C90" s="98">
        <v>80</v>
      </c>
      <c r="D90" s="67">
        <v>60000</v>
      </c>
      <c r="E90" s="67">
        <f t="shared" si="2"/>
        <v>4800000</v>
      </c>
      <c r="F90" s="45"/>
      <c r="G90" s="17"/>
    </row>
    <row r="91" spans="1:7" x14ac:dyDescent="0.25">
      <c r="A91" s="21">
        <v>45535</v>
      </c>
      <c r="B91" s="1" t="s">
        <v>374</v>
      </c>
      <c r="C91" s="96">
        <v>40</v>
      </c>
      <c r="D91" s="67">
        <v>62000</v>
      </c>
      <c r="E91" s="67">
        <f t="shared" si="2"/>
        <v>2480000</v>
      </c>
      <c r="F91" s="45"/>
      <c r="G91" s="17"/>
    </row>
    <row r="92" spans="1:7" x14ac:dyDescent="0.25">
      <c r="A92" s="21"/>
      <c r="B92" s="1" t="s">
        <v>378</v>
      </c>
      <c r="C92" s="96">
        <v>38</v>
      </c>
      <c r="D92" s="67">
        <v>65000</v>
      </c>
      <c r="E92" s="67">
        <f t="shared" si="2"/>
        <v>2470000</v>
      </c>
      <c r="F92" s="45"/>
      <c r="G92" s="17"/>
    </row>
    <row r="93" spans="1:7" x14ac:dyDescent="0.25">
      <c r="A93" s="21"/>
      <c r="B93" s="1" t="s">
        <v>383</v>
      </c>
      <c r="C93" s="96">
        <v>20</v>
      </c>
      <c r="D93" s="67">
        <v>60000</v>
      </c>
      <c r="E93" s="67">
        <f t="shared" si="2"/>
        <v>1200000</v>
      </c>
      <c r="F93" s="45"/>
      <c r="G93" s="17"/>
    </row>
    <row r="94" spans="1:7" x14ac:dyDescent="0.25">
      <c r="A94" s="21"/>
      <c r="B94" s="1" t="s">
        <v>385</v>
      </c>
      <c r="C94" s="96">
        <v>36</v>
      </c>
      <c r="D94" s="67">
        <v>30000</v>
      </c>
      <c r="E94" s="67">
        <f t="shared" si="2"/>
        <v>1080000</v>
      </c>
      <c r="F94" s="45"/>
      <c r="G94" s="17"/>
    </row>
    <row r="95" spans="1:7" x14ac:dyDescent="0.25">
      <c r="A95" s="21"/>
      <c r="B95" s="1" t="s">
        <v>250</v>
      </c>
      <c r="C95" s="96">
        <v>22</v>
      </c>
      <c r="D95" s="67">
        <v>40000</v>
      </c>
      <c r="E95" s="67">
        <f t="shared" si="2"/>
        <v>880000</v>
      </c>
      <c r="F95" s="45"/>
      <c r="G95" s="17"/>
    </row>
    <row r="96" spans="1:7" x14ac:dyDescent="0.25">
      <c r="A96" s="21"/>
      <c r="B96" s="1" t="s">
        <v>386</v>
      </c>
      <c r="C96" s="96">
        <v>56</v>
      </c>
      <c r="D96" s="67">
        <v>30000</v>
      </c>
      <c r="E96" s="67">
        <f t="shared" si="2"/>
        <v>1680000</v>
      </c>
      <c r="F96" s="45"/>
      <c r="G96" s="17"/>
    </row>
    <row r="97" spans="1:7" x14ac:dyDescent="0.25">
      <c r="A97" s="21"/>
      <c r="B97" s="1"/>
      <c r="C97" s="96"/>
      <c r="D97" s="67"/>
      <c r="E97" s="67">
        <f t="shared" si="2"/>
        <v>0</v>
      </c>
      <c r="F97" s="45"/>
      <c r="G97" s="17"/>
    </row>
    <row r="98" spans="1:7" x14ac:dyDescent="0.25">
      <c r="A98" s="21"/>
      <c r="B98" s="1"/>
      <c r="C98" s="96"/>
      <c r="D98" s="67"/>
      <c r="E98" s="67">
        <f t="shared" si="2"/>
        <v>0</v>
      </c>
      <c r="F98" s="45"/>
      <c r="G98" s="17"/>
    </row>
    <row r="99" spans="1:7" x14ac:dyDescent="0.25">
      <c r="A99" s="21"/>
      <c r="B99" s="1"/>
      <c r="C99" s="96"/>
      <c r="D99" s="67"/>
      <c r="E99" s="67">
        <f t="shared" si="2"/>
        <v>0</v>
      </c>
      <c r="F99" s="45"/>
      <c r="G99" s="17"/>
    </row>
    <row r="100" spans="1:7" x14ac:dyDescent="0.25">
      <c r="A100" s="21"/>
      <c r="D100" s="23"/>
      <c r="E100" s="23">
        <f t="shared" si="2"/>
        <v>0</v>
      </c>
      <c r="F100" s="45"/>
      <c r="G100" s="17"/>
    </row>
    <row r="101" spans="1:7" x14ac:dyDescent="0.25">
      <c r="A101" s="21"/>
      <c r="D101" s="23"/>
      <c r="E101" s="23">
        <f t="shared" si="2"/>
        <v>0</v>
      </c>
      <c r="F101" s="45"/>
      <c r="G101" s="17"/>
    </row>
    <row r="102" spans="1:7" x14ac:dyDescent="0.25">
      <c r="A102" s="21"/>
      <c r="D102" s="23"/>
      <c r="E102" s="23">
        <f t="shared" si="2"/>
        <v>0</v>
      </c>
      <c r="F102" s="45"/>
      <c r="G102" s="17"/>
    </row>
    <row r="103" spans="1:7" x14ac:dyDescent="0.25">
      <c r="A103" s="43"/>
      <c r="E103" s="20">
        <f t="shared" si="2"/>
        <v>0</v>
      </c>
      <c r="F103" s="45"/>
      <c r="G103" s="17"/>
    </row>
    <row r="104" spans="1:7" x14ac:dyDescent="0.25">
      <c r="A104" s="21"/>
      <c r="D104" s="23"/>
      <c r="E104" s="23">
        <f t="shared" si="2"/>
        <v>0</v>
      </c>
      <c r="F104" s="45"/>
      <c r="G104" s="17"/>
    </row>
    <row r="105" spans="1:7" x14ac:dyDescent="0.25">
      <c r="A105" s="21"/>
      <c r="D105" s="23"/>
      <c r="E105" s="23">
        <f t="shared" si="2"/>
        <v>0</v>
      </c>
      <c r="F105" s="45"/>
      <c r="G105" s="17"/>
    </row>
    <row r="106" spans="1:7" x14ac:dyDescent="0.25">
      <c r="A106" s="21"/>
      <c r="D106" s="23"/>
      <c r="E106" s="23">
        <f t="shared" si="2"/>
        <v>0</v>
      </c>
      <c r="G106" s="17"/>
    </row>
    <row r="107" spans="1:7" x14ac:dyDescent="0.25">
      <c r="A107" s="21"/>
      <c r="D107" s="23"/>
      <c r="E107" s="23">
        <f t="shared" si="2"/>
        <v>0</v>
      </c>
    </row>
    <row r="108" spans="1:7" x14ac:dyDescent="0.25">
      <c r="A108" s="21"/>
      <c r="D108" s="23"/>
      <c r="E108" s="23">
        <f t="shared" si="2"/>
        <v>0</v>
      </c>
    </row>
    <row r="109" spans="1:7" x14ac:dyDescent="0.25">
      <c r="A109" s="21"/>
      <c r="D109" s="23"/>
      <c r="E109" s="23">
        <f t="shared" si="2"/>
        <v>0</v>
      </c>
    </row>
    <row r="110" spans="1:7" x14ac:dyDescent="0.25">
      <c r="A110" s="21"/>
      <c r="D110" s="23"/>
      <c r="E110" s="23">
        <f t="shared" si="2"/>
        <v>0</v>
      </c>
    </row>
    <row r="111" spans="1:7" x14ac:dyDescent="0.25">
      <c r="A111" s="21"/>
      <c r="D111" s="23"/>
      <c r="E111" s="23">
        <f t="shared" si="2"/>
        <v>0</v>
      </c>
    </row>
    <row r="112" spans="1:7" x14ac:dyDescent="0.25">
      <c r="A112" s="21"/>
      <c r="D112" s="23"/>
      <c r="E112" s="23">
        <f t="shared" si="2"/>
        <v>0</v>
      </c>
    </row>
    <row r="113" spans="1:7" x14ac:dyDescent="0.25">
      <c r="A113" s="21"/>
      <c r="D113" s="23"/>
      <c r="E113" s="23">
        <f t="shared" si="2"/>
        <v>0</v>
      </c>
    </row>
    <row r="114" spans="1:7" x14ac:dyDescent="0.25">
      <c r="A114" s="21"/>
      <c r="D114" s="23"/>
      <c r="E114" s="23">
        <f t="shared" ref="E114:E145" si="3">C114*D114</f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67">
        <f t="shared" si="3"/>
        <v>0</v>
      </c>
    </row>
    <row r="122" spans="1:7" x14ac:dyDescent="0.25">
      <c r="A122" s="43"/>
      <c r="E122" s="67">
        <f t="shared" si="3"/>
        <v>0</v>
      </c>
    </row>
    <row r="123" spans="1:7" x14ac:dyDescent="0.25">
      <c r="A123" s="43"/>
      <c r="E123" s="67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67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67">
        <f t="shared" si="3"/>
        <v>0</v>
      </c>
      <c r="G130" s="27"/>
    </row>
    <row r="131" spans="1:7" x14ac:dyDescent="0.25">
      <c r="A131" s="43"/>
      <c r="E131" s="67">
        <f t="shared" si="3"/>
        <v>0</v>
      </c>
      <c r="G131" s="17"/>
    </row>
    <row r="132" spans="1:7" x14ac:dyDescent="0.25">
      <c r="E132" s="67">
        <f t="shared" si="3"/>
        <v>0</v>
      </c>
    </row>
    <row r="133" spans="1:7" x14ac:dyDescent="0.25">
      <c r="E133" s="67">
        <f t="shared" si="3"/>
        <v>0</v>
      </c>
    </row>
    <row r="134" spans="1:7" x14ac:dyDescent="0.25">
      <c r="E134" s="67">
        <f t="shared" si="3"/>
        <v>0</v>
      </c>
    </row>
    <row r="135" spans="1:7" x14ac:dyDescent="0.25">
      <c r="A135" s="43"/>
      <c r="E135" s="67">
        <f t="shared" si="3"/>
        <v>0</v>
      </c>
    </row>
    <row r="136" spans="1:7" x14ac:dyDescent="0.25">
      <c r="E136" s="67">
        <f t="shared" si="3"/>
        <v>0</v>
      </c>
    </row>
    <row r="137" spans="1:7" x14ac:dyDescent="0.25">
      <c r="E137" s="67">
        <f t="shared" si="3"/>
        <v>0</v>
      </c>
    </row>
    <row r="138" spans="1:7" x14ac:dyDescent="0.25">
      <c r="E138" s="67">
        <f t="shared" si="3"/>
        <v>0</v>
      </c>
    </row>
    <row r="139" spans="1:7" x14ac:dyDescent="0.25">
      <c r="E139" s="67">
        <f t="shared" si="3"/>
        <v>0</v>
      </c>
    </row>
    <row r="140" spans="1:7" x14ac:dyDescent="0.25">
      <c r="E140" s="67">
        <f t="shared" si="3"/>
        <v>0</v>
      </c>
    </row>
    <row r="141" spans="1:7" x14ac:dyDescent="0.25">
      <c r="A141" s="43"/>
      <c r="E141" s="67">
        <f t="shared" si="3"/>
        <v>0</v>
      </c>
    </row>
    <row r="142" spans="1:7" x14ac:dyDescent="0.25">
      <c r="E142" s="67">
        <f t="shared" si="3"/>
        <v>0</v>
      </c>
    </row>
    <row r="143" spans="1:7" x14ac:dyDescent="0.25">
      <c r="E143" s="67">
        <f t="shared" si="3"/>
        <v>0</v>
      </c>
    </row>
    <row r="144" spans="1:7" x14ac:dyDescent="0.25">
      <c r="E144" s="67">
        <f t="shared" si="3"/>
        <v>0</v>
      </c>
    </row>
    <row r="145" spans="5:5" x14ac:dyDescent="0.25">
      <c r="E145" s="67">
        <f t="shared" si="3"/>
        <v>0</v>
      </c>
    </row>
    <row r="146" spans="5:5" x14ac:dyDescent="0.25">
      <c r="E146" s="67">
        <f t="shared" ref="E146:E177" si="4">C146*D146</f>
        <v>0</v>
      </c>
    </row>
    <row r="147" spans="5:5" x14ac:dyDescent="0.25">
      <c r="E147" s="67"/>
    </row>
    <row r="148" spans="5:5" x14ac:dyDescent="0.25">
      <c r="E148" s="67"/>
    </row>
    <row r="149" spans="5:5" x14ac:dyDescent="0.25">
      <c r="E149" s="67"/>
    </row>
    <row r="150" spans="5:5" x14ac:dyDescent="0.25">
      <c r="E150" s="67"/>
    </row>
    <row r="151" spans="5:5" x14ac:dyDescent="0.25">
      <c r="E151" s="67"/>
    </row>
    <row r="199" spans="5:7" x14ac:dyDescent="0.25">
      <c r="E199" s="23">
        <f>SUM(E3:E198)</f>
        <v>406358000</v>
      </c>
      <c r="G199" s="27">
        <f>SUM(G3:G198)</f>
        <v>377721000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067B-9134-A743-A941-5D175E160ED6}">
  <dimension ref="A1:K200"/>
  <sheetViews>
    <sheetView topLeftCell="G33" zoomScaleNormal="100" zoomScaleSheetLayoutView="100" workbookViewId="0">
      <selection activeCell="D127" sqref="D127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7109375" style="22" bestFit="1" customWidth="1"/>
    <col min="4" max="4" width="11.28515625" style="20" bestFit="1" customWidth="1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'Январ 2024'!I3</f>
        <v>16871000</v>
      </c>
      <c r="F3" s="26">
        <v>45413</v>
      </c>
      <c r="G3" s="27">
        <v>8000000</v>
      </c>
      <c r="I3" s="110">
        <f>E199-G199</f>
        <v>54686000</v>
      </c>
      <c r="J3" s="111"/>
    </row>
    <row r="4" spans="1:11" x14ac:dyDescent="0.25">
      <c r="A4" s="21">
        <v>45413</v>
      </c>
      <c r="B4" t="s">
        <v>324</v>
      </c>
      <c r="C4" s="22">
        <v>56</v>
      </c>
      <c r="D4" s="23">
        <v>43000</v>
      </c>
      <c r="E4" s="23">
        <f t="shared" ref="E4:E35" si="0">C4*D4</f>
        <v>2408000</v>
      </c>
      <c r="F4" s="26">
        <v>45414</v>
      </c>
      <c r="G4" s="27">
        <v>3000000</v>
      </c>
      <c r="I4" s="89" t="s">
        <v>132</v>
      </c>
      <c r="J4" s="90">
        <v>12750</v>
      </c>
    </row>
    <row r="5" spans="1:11" ht="15.75" thickBot="1" x14ac:dyDescent="0.3">
      <c r="A5" s="21"/>
      <c r="B5" t="s">
        <v>325</v>
      </c>
      <c r="C5" s="22">
        <v>126</v>
      </c>
      <c r="D5" s="23">
        <v>47000</v>
      </c>
      <c r="E5" s="67">
        <f t="shared" si="0"/>
        <v>5922000</v>
      </c>
      <c r="F5" s="26">
        <v>45415</v>
      </c>
      <c r="G5" s="27">
        <f>13000000+635000</f>
        <v>13635000</v>
      </c>
      <c r="I5" s="112">
        <f>I3/J4</f>
        <v>4289.0980392156862</v>
      </c>
      <c r="J5" s="113"/>
    </row>
    <row r="6" spans="1:11" ht="15.75" thickBot="1" x14ac:dyDescent="0.3">
      <c r="A6" s="21"/>
      <c r="B6" t="s">
        <v>322</v>
      </c>
      <c r="C6" s="22">
        <v>84</v>
      </c>
      <c r="D6" s="23">
        <v>42000</v>
      </c>
      <c r="E6" s="23">
        <f t="shared" si="0"/>
        <v>3528000</v>
      </c>
      <c r="F6" s="26">
        <v>45416</v>
      </c>
      <c r="G6" s="27">
        <v>5700000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/>
      <c r="B7" t="s">
        <v>323</v>
      </c>
      <c r="C7" s="22">
        <v>144</v>
      </c>
      <c r="D7" s="23">
        <v>40000</v>
      </c>
      <c r="E7" s="23">
        <f t="shared" si="0"/>
        <v>5760000</v>
      </c>
      <c r="F7" s="26">
        <v>45417</v>
      </c>
      <c r="G7" s="27">
        <v>5730000</v>
      </c>
    </row>
    <row r="8" spans="1:11" ht="15.75" thickBot="1" x14ac:dyDescent="0.3">
      <c r="A8" s="21"/>
      <c r="B8" t="s">
        <v>326</v>
      </c>
      <c r="C8" s="22">
        <v>8</v>
      </c>
      <c r="D8" s="23">
        <v>40000</v>
      </c>
      <c r="E8" s="23">
        <f t="shared" si="0"/>
        <v>320000</v>
      </c>
      <c r="F8" s="26">
        <v>45419</v>
      </c>
      <c r="G8" s="27">
        <v>8200000</v>
      </c>
      <c r="I8" s="29" t="s">
        <v>15</v>
      </c>
      <c r="J8" s="30">
        <f>I3-J6</f>
        <v>19310000</v>
      </c>
    </row>
    <row r="9" spans="1:11" x14ac:dyDescent="0.25">
      <c r="A9" s="21"/>
      <c r="B9" t="s">
        <v>327</v>
      </c>
      <c r="C9" s="22">
        <v>8</v>
      </c>
      <c r="D9" s="23">
        <v>56000</v>
      </c>
      <c r="E9" s="23">
        <f t="shared" si="0"/>
        <v>448000</v>
      </c>
      <c r="F9" s="26">
        <v>45420</v>
      </c>
      <c r="G9" s="27">
        <v>13000000</v>
      </c>
      <c r="J9" s="7"/>
    </row>
    <row r="10" spans="1:11" ht="15.75" thickBot="1" x14ac:dyDescent="0.3">
      <c r="A10" s="43">
        <v>45414</v>
      </c>
      <c r="B10" t="s">
        <v>324</v>
      </c>
      <c r="C10" s="22">
        <v>106</v>
      </c>
      <c r="D10" s="20">
        <v>43000</v>
      </c>
      <c r="E10" s="20">
        <f t="shared" si="0"/>
        <v>4558000</v>
      </c>
      <c r="F10" s="26">
        <v>45421</v>
      </c>
      <c r="G10" s="27">
        <v>7100000</v>
      </c>
    </row>
    <row r="11" spans="1:11" ht="15.75" thickBot="1" x14ac:dyDescent="0.3">
      <c r="A11" s="21"/>
      <c r="B11" t="s">
        <v>328</v>
      </c>
      <c r="C11" s="22">
        <v>102</v>
      </c>
      <c r="D11" s="23">
        <v>45000</v>
      </c>
      <c r="E11" s="23">
        <f t="shared" si="0"/>
        <v>4590000</v>
      </c>
      <c r="F11" s="26">
        <v>45422</v>
      </c>
      <c r="G11" s="27">
        <v>5000000</v>
      </c>
      <c r="I11" s="54" t="s">
        <v>66</v>
      </c>
      <c r="J11" s="55"/>
    </row>
    <row r="12" spans="1:11" x14ac:dyDescent="0.25">
      <c r="A12" s="21"/>
      <c r="B12" t="s">
        <v>325</v>
      </c>
      <c r="C12" s="22">
        <v>70</v>
      </c>
      <c r="D12" s="23">
        <v>47000</v>
      </c>
      <c r="E12" s="23">
        <f t="shared" si="0"/>
        <v>3290000</v>
      </c>
      <c r="F12" s="26">
        <v>45423</v>
      </c>
      <c r="G12" s="27">
        <v>8100000</v>
      </c>
    </row>
    <row r="13" spans="1:11" x14ac:dyDescent="0.25">
      <c r="A13" s="21"/>
      <c r="B13" t="s">
        <v>329</v>
      </c>
      <c r="C13" s="22">
        <v>82</v>
      </c>
      <c r="D13" s="23">
        <v>45000</v>
      </c>
      <c r="E13" s="23">
        <f t="shared" si="0"/>
        <v>3690000</v>
      </c>
      <c r="F13" s="26">
        <v>45424</v>
      </c>
      <c r="G13" s="27">
        <v>13170000</v>
      </c>
    </row>
    <row r="14" spans="1:11" ht="15.75" thickBot="1" x14ac:dyDescent="0.3">
      <c r="A14" s="21">
        <v>45415</v>
      </c>
      <c r="B14" t="s">
        <v>326</v>
      </c>
      <c r="C14" s="22">
        <v>80</v>
      </c>
      <c r="D14" s="23">
        <v>38000</v>
      </c>
      <c r="E14" s="23">
        <f t="shared" si="0"/>
        <v>3040000</v>
      </c>
      <c r="F14" s="26">
        <v>45426</v>
      </c>
      <c r="G14" s="27">
        <v>6000000</v>
      </c>
    </row>
    <row r="15" spans="1:11" x14ac:dyDescent="0.25">
      <c r="A15" s="21"/>
      <c r="B15" t="s">
        <v>324</v>
      </c>
      <c r="C15" s="22">
        <v>44</v>
      </c>
      <c r="D15" s="23">
        <v>43000</v>
      </c>
      <c r="E15" s="23">
        <f t="shared" si="0"/>
        <v>1892000</v>
      </c>
      <c r="F15" s="26">
        <v>45427</v>
      </c>
      <c r="G15" s="27">
        <v>3550000</v>
      </c>
      <c r="I15" s="114"/>
      <c r="J15" s="115"/>
    </row>
    <row r="16" spans="1:11" ht="15.75" thickBot="1" x14ac:dyDescent="0.3">
      <c r="A16" s="21"/>
      <c r="B16" t="s">
        <v>329</v>
      </c>
      <c r="C16" s="22">
        <v>86</v>
      </c>
      <c r="D16" s="23">
        <v>45000</v>
      </c>
      <c r="E16" s="23">
        <f t="shared" si="0"/>
        <v>3870000</v>
      </c>
      <c r="F16" s="26">
        <v>45428</v>
      </c>
      <c r="G16" s="27">
        <v>8311000</v>
      </c>
      <c r="I16" s="80"/>
      <c r="J16" s="81"/>
    </row>
    <row r="17" spans="1:7" x14ac:dyDescent="0.25">
      <c r="A17" s="21">
        <v>45416</v>
      </c>
      <c r="B17" t="s">
        <v>326</v>
      </c>
      <c r="C17" s="22">
        <v>60</v>
      </c>
      <c r="D17" s="23">
        <v>38000</v>
      </c>
      <c r="E17" s="23">
        <f t="shared" si="0"/>
        <v>2280000</v>
      </c>
      <c r="F17" s="26">
        <v>45429</v>
      </c>
      <c r="G17" s="27">
        <v>10250000</v>
      </c>
    </row>
    <row r="18" spans="1:7" x14ac:dyDescent="0.25">
      <c r="A18" s="21"/>
      <c r="B18" t="s">
        <v>310</v>
      </c>
      <c r="C18" s="22">
        <v>30</v>
      </c>
      <c r="D18" s="23">
        <v>48000</v>
      </c>
      <c r="E18" s="23">
        <f t="shared" si="0"/>
        <v>1440000</v>
      </c>
      <c r="F18" s="26">
        <v>45430</v>
      </c>
      <c r="G18" s="27">
        <v>12000000</v>
      </c>
    </row>
    <row r="19" spans="1:7" x14ac:dyDescent="0.25">
      <c r="A19" s="21"/>
      <c r="B19" t="s">
        <v>325</v>
      </c>
      <c r="C19" s="22">
        <v>180</v>
      </c>
      <c r="D19" s="23">
        <v>47000</v>
      </c>
      <c r="E19" s="23">
        <f t="shared" si="0"/>
        <v>8460000</v>
      </c>
      <c r="F19" s="45">
        <v>45431</v>
      </c>
      <c r="G19" s="17">
        <v>7745000</v>
      </c>
    </row>
    <row r="20" spans="1:7" x14ac:dyDescent="0.25">
      <c r="A20" s="43">
        <v>45417</v>
      </c>
      <c r="B20" t="s">
        <v>310</v>
      </c>
      <c r="C20" s="22">
        <v>104</v>
      </c>
      <c r="D20" s="20">
        <v>48000</v>
      </c>
      <c r="E20" s="96">
        <f t="shared" si="0"/>
        <v>4992000</v>
      </c>
      <c r="F20" s="26">
        <v>45433</v>
      </c>
      <c r="G20" s="27">
        <v>10350000</v>
      </c>
    </row>
    <row r="21" spans="1:7" x14ac:dyDescent="0.25">
      <c r="A21" s="21"/>
      <c r="B21" t="s">
        <v>328</v>
      </c>
      <c r="C21" s="22">
        <v>100</v>
      </c>
      <c r="D21" s="23">
        <v>45000</v>
      </c>
      <c r="E21" s="23">
        <f t="shared" si="0"/>
        <v>4500000</v>
      </c>
      <c r="F21" s="26">
        <v>45434</v>
      </c>
      <c r="G21" s="27">
        <v>11200000</v>
      </c>
    </row>
    <row r="22" spans="1:7" x14ac:dyDescent="0.25">
      <c r="A22" s="21"/>
      <c r="B22" t="s">
        <v>325</v>
      </c>
      <c r="C22" s="22">
        <v>16</v>
      </c>
      <c r="D22" s="23">
        <v>47000</v>
      </c>
      <c r="E22" s="23">
        <f t="shared" si="0"/>
        <v>752000</v>
      </c>
      <c r="F22" s="26">
        <v>45435</v>
      </c>
      <c r="G22" s="27">
        <v>4150000</v>
      </c>
    </row>
    <row r="23" spans="1:7" x14ac:dyDescent="0.25">
      <c r="A23" s="21"/>
      <c r="B23" t="s">
        <v>330</v>
      </c>
      <c r="C23" s="22">
        <v>72</v>
      </c>
      <c r="D23" s="23">
        <v>46000</v>
      </c>
      <c r="E23" s="23">
        <f t="shared" si="0"/>
        <v>3312000</v>
      </c>
      <c r="F23" s="26">
        <v>45436</v>
      </c>
      <c r="G23" s="27">
        <v>2400000</v>
      </c>
    </row>
    <row r="24" spans="1:7" x14ac:dyDescent="0.25">
      <c r="A24" s="21"/>
      <c r="B24" t="s">
        <v>331</v>
      </c>
      <c r="C24" s="22">
        <v>90</v>
      </c>
      <c r="D24" s="23">
        <v>45000</v>
      </c>
      <c r="E24" s="23">
        <f t="shared" si="0"/>
        <v>4050000</v>
      </c>
      <c r="F24" s="26">
        <v>45437</v>
      </c>
      <c r="G24" s="27">
        <v>2000000</v>
      </c>
    </row>
    <row r="25" spans="1:7" x14ac:dyDescent="0.25">
      <c r="A25" s="21">
        <v>45420</v>
      </c>
      <c r="B25" t="s">
        <v>327</v>
      </c>
      <c r="C25" s="22">
        <v>30</v>
      </c>
      <c r="D25" s="23">
        <v>56000</v>
      </c>
      <c r="E25" s="23">
        <f t="shared" si="0"/>
        <v>1680000</v>
      </c>
      <c r="F25" s="26">
        <v>45438</v>
      </c>
      <c r="G25" s="27">
        <v>4700000</v>
      </c>
    </row>
    <row r="26" spans="1:7" x14ac:dyDescent="0.25">
      <c r="A26" s="21"/>
      <c r="B26" t="s">
        <v>332</v>
      </c>
      <c r="C26" s="22">
        <v>124</v>
      </c>
      <c r="D26" s="23">
        <v>43000</v>
      </c>
      <c r="E26" s="23">
        <f t="shared" si="0"/>
        <v>5332000</v>
      </c>
      <c r="F26" s="26">
        <v>45440</v>
      </c>
      <c r="G26" s="27">
        <v>9600000</v>
      </c>
    </row>
    <row r="27" spans="1:7" x14ac:dyDescent="0.25">
      <c r="A27" s="21"/>
      <c r="B27" t="s">
        <v>326</v>
      </c>
      <c r="C27" s="22">
        <v>40</v>
      </c>
      <c r="D27" s="23">
        <v>38000</v>
      </c>
      <c r="E27" s="23">
        <f t="shared" si="0"/>
        <v>1520000</v>
      </c>
      <c r="F27" s="26">
        <v>45441</v>
      </c>
      <c r="G27" s="27">
        <v>4650000</v>
      </c>
    </row>
    <row r="28" spans="1:7" x14ac:dyDescent="0.25">
      <c r="A28" s="21">
        <v>45421</v>
      </c>
      <c r="B28" t="s">
        <v>324</v>
      </c>
      <c r="C28" s="22">
        <v>100</v>
      </c>
      <c r="D28" s="23">
        <v>43000</v>
      </c>
      <c r="E28" s="23">
        <f t="shared" si="0"/>
        <v>4300000</v>
      </c>
      <c r="F28" s="45">
        <v>45442</v>
      </c>
      <c r="G28" s="17">
        <v>9300000</v>
      </c>
    </row>
    <row r="29" spans="1:7" x14ac:dyDescent="0.25">
      <c r="A29" s="21"/>
      <c r="B29" t="s">
        <v>326</v>
      </c>
      <c r="C29" s="22">
        <v>40</v>
      </c>
      <c r="D29" s="23">
        <v>38000</v>
      </c>
      <c r="E29" s="23">
        <f t="shared" si="0"/>
        <v>1520000</v>
      </c>
      <c r="F29" s="26">
        <v>45443</v>
      </c>
      <c r="G29" s="27">
        <v>2000000</v>
      </c>
    </row>
    <row r="30" spans="1:7" x14ac:dyDescent="0.25">
      <c r="A30" s="21"/>
      <c r="B30" t="s">
        <v>327</v>
      </c>
      <c r="C30" s="22">
        <v>18</v>
      </c>
      <c r="D30" s="23">
        <v>56000</v>
      </c>
      <c r="E30" s="23">
        <f t="shared" si="0"/>
        <v>1008000</v>
      </c>
      <c r="F30" s="26">
        <v>45444</v>
      </c>
      <c r="G30" s="27">
        <v>5200000</v>
      </c>
    </row>
    <row r="31" spans="1:7" x14ac:dyDescent="0.25">
      <c r="A31" s="21">
        <v>45422</v>
      </c>
      <c r="B31" t="s">
        <v>324</v>
      </c>
      <c r="C31" s="22">
        <v>52</v>
      </c>
      <c r="D31" s="23">
        <v>43000</v>
      </c>
      <c r="E31" s="23">
        <f t="shared" si="0"/>
        <v>2236000</v>
      </c>
      <c r="F31" s="85" t="s">
        <v>342</v>
      </c>
      <c r="G31" s="86">
        <v>4432000</v>
      </c>
    </row>
    <row r="32" spans="1:7" x14ac:dyDescent="0.25">
      <c r="A32" s="43">
        <v>45423</v>
      </c>
      <c r="B32" t="s">
        <v>333</v>
      </c>
      <c r="C32" s="22">
        <v>20</v>
      </c>
      <c r="D32" s="20">
        <v>52000</v>
      </c>
      <c r="E32" s="44">
        <f t="shared" si="0"/>
        <v>1040000</v>
      </c>
      <c r="F32" s="26">
        <v>45445</v>
      </c>
      <c r="G32" s="27">
        <v>4750000</v>
      </c>
    </row>
    <row r="33" spans="1:7" x14ac:dyDescent="0.25">
      <c r="A33" s="21"/>
      <c r="B33" t="s">
        <v>326</v>
      </c>
      <c r="C33" s="22">
        <v>76</v>
      </c>
      <c r="D33" s="23">
        <v>38000</v>
      </c>
      <c r="E33" s="23">
        <f t="shared" si="0"/>
        <v>2888000</v>
      </c>
      <c r="F33" s="26">
        <v>45447</v>
      </c>
      <c r="G33" s="27">
        <v>11250000</v>
      </c>
    </row>
    <row r="34" spans="1:7" x14ac:dyDescent="0.25">
      <c r="A34" s="21"/>
      <c r="B34" t="s">
        <v>330</v>
      </c>
      <c r="C34" s="22">
        <v>60</v>
      </c>
      <c r="D34" s="23">
        <v>46000</v>
      </c>
      <c r="E34" s="23">
        <f t="shared" si="0"/>
        <v>2760000</v>
      </c>
      <c r="F34" s="26">
        <v>45448</v>
      </c>
      <c r="G34" s="27">
        <v>9650000</v>
      </c>
    </row>
    <row r="35" spans="1:7" x14ac:dyDescent="0.25">
      <c r="A35" s="21"/>
      <c r="B35" t="s">
        <v>324</v>
      </c>
      <c r="C35" s="22">
        <v>102</v>
      </c>
      <c r="D35" s="23">
        <v>43000</v>
      </c>
      <c r="E35" s="23">
        <f t="shared" si="0"/>
        <v>4386000</v>
      </c>
      <c r="F35" s="26">
        <v>45449</v>
      </c>
      <c r="G35" s="27">
        <v>11155000</v>
      </c>
    </row>
    <row r="36" spans="1:7" x14ac:dyDescent="0.25">
      <c r="A36" s="21">
        <v>45424</v>
      </c>
      <c r="B36" t="s">
        <v>330</v>
      </c>
      <c r="C36" s="22">
        <v>136</v>
      </c>
      <c r="D36" s="23">
        <v>46000</v>
      </c>
      <c r="E36" s="23">
        <f t="shared" ref="E36:E67" si="1">C36*D36</f>
        <v>6256000</v>
      </c>
      <c r="F36" s="26">
        <v>45450</v>
      </c>
      <c r="G36" s="27">
        <v>2800000</v>
      </c>
    </row>
    <row r="37" spans="1:7" x14ac:dyDescent="0.25">
      <c r="A37" s="21"/>
      <c r="B37" t="s">
        <v>324</v>
      </c>
      <c r="C37" s="22">
        <v>48</v>
      </c>
      <c r="D37" s="23">
        <v>43000</v>
      </c>
      <c r="E37" s="23">
        <f t="shared" si="1"/>
        <v>2064000</v>
      </c>
      <c r="F37" s="26">
        <v>45451</v>
      </c>
      <c r="G37" s="27">
        <v>13900000</v>
      </c>
    </row>
    <row r="38" spans="1:7" x14ac:dyDescent="0.25">
      <c r="A38" s="21">
        <v>45426</v>
      </c>
      <c r="B38" t="s">
        <v>333</v>
      </c>
      <c r="C38" s="22">
        <v>58</v>
      </c>
      <c r="D38" s="23">
        <v>52000</v>
      </c>
      <c r="E38" s="23">
        <f t="shared" si="1"/>
        <v>3016000</v>
      </c>
      <c r="F38" s="26" t="s">
        <v>346</v>
      </c>
      <c r="G38" s="27">
        <f>216*12000</f>
        <v>2592000</v>
      </c>
    </row>
    <row r="39" spans="1:7" x14ac:dyDescent="0.25">
      <c r="A39" s="21"/>
      <c r="B39" t="s">
        <v>330</v>
      </c>
      <c r="C39" s="22">
        <v>112</v>
      </c>
      <c r="D39" s="23">
        <v>46000</v>
      </c>
      <c r="E39" s="23">
        <f t="shared" si="1"/>
        <v>5152000</v>
      </c>
      <c r="F39" s="26">
        <v>45452</v>
      </c>
      <c r="G39" s="27">
        <v>16465000</v>
      </c>
    </row>
    <row r="40" spans="1:7" x14ac:dyDescent="0.25">
      <c r="A40" s="21"/>
      <c r="B40" t="s">
        <v>334</v>
      </c>
      <c r="C40" s="22">
        <v>56</v>
      </c>
      <c r="D40" s="23">
        <v>43000</v>
      </c>
      <c r="E40" s="23">
        <f t="shared" si="1"/>
        <v>2408000</v>
      </c>
      <c r="F40" s="26">
        <v>45454</v>
      </c>
      <c r="G40" s="27">
        <v>10500000</v>
      </c>
    </row>
    <row r="41" spans="1:7" x14ac:dyDescent="0.25">
      <c r="A41" s="21">
        <v>45427</v>
      </c>
      <c r="B41" t="s">
        <v>324</v>
      </c>
      <c r="C41" s="22">
        <v>52</v>
      </c>
      <c r="D41" s="23">
        <v>43000</v>
      </c>
      <c r="E41" s="23">
        <f t="shared" si="1"/>
        <v>2236000</v>
      </c>
      <c r="F41" s="45">
        <v>45455</v>
      </c>
      <c r="G41" s="17">
        <v>11600000</v>
      </c>
    </row>
    <row r="42" spans="1:7" x14ac:dyDescent="0.25">
      <c r="A42" s="21"/>
      <c r="B42" t="s">
        <v>330</v>
      </c>
      <c r="C42" s="22">
        <v>50</v>
      </c>
      <c r="D42" s="23">
        <v>46000</v>
      </c>
      <c r="E42" s="23">
        <f t="shared" si="1"/>
        <v>2300000</v>
      </c>
      <c r="F42" s="26">
        <v>45456</v>
      </c>
      <c r="G42" s="27">
        <v>9000000</v>
      </c>
    </row>
    <row r="43" spans="1:7" x14ac:dyDescent="0.25">
      <c r="A43" s="21">
        <v>45428</v>
      </c>
      <c r="B43" t="s">
        <v>335</v>
      </c>
      <c r="C43" s="22">
        <v>76</v>
      </c>
      <c r="D43" s="23">
        <v>45000</v>
      </c>
      <c r="E43" s="23">
        <f t="shared" si="1"/>
        <v>3420000</v>
      </c>
      <c r="F43" s="26">
        <v>45457</v>
      </c>
      <c r="G43" s="27">
        <v>15760000</v>
      </c>
    </row>
    <row r="44" spans="1:7" x14ac:dyDescent="0.25">
      <c r="A44" s="21"/>
      <c r="B44" t="s">
        <v>326</v>
      </c>
      <c r="C44" s="22">
        <v>40</v>
      </c>
      <c r="D44" s="23">
        <v>38000</v>
      </c>
      <c r="E44" s="23">
        <f t="shared" si="1"/>
        <v>1520000</v>
      </c>
      <c r="F44" s="26">
        <v>45458</v>
      </c>
      <c r="G44" s="27">
        <v>11452000</v>
      </c>
    </row>
    <row r="45" spans="1:7" x14ac:dyDescent="0.25">
      <c r="A45" s="21">
        <v>45429</v>
      </c>
      <c r="B45" t="s">
        <v>333</v>
      </c>
      <c r="C45" s="22">
        <v>100</v>
      </c>
      <c r="D45" s="23">
        <v>52000</v>
      </c>
      <c r="E45" s="23">
        <f t="shared" si="1"/>
        <v>5200000</v>
      </c>
      <c r="F45" s="85">
        <v>45461</v>
      </c>
      <c r="G45" s="86">
        <v>5214000</v>
      </c>
    </row>
    <row r="46" spans="1:7" x14ac:dyDescent="0.25">
      <c r="A46" s="21"/>
      <c r="B46" t="s">
        <v>326</v>
      </c>
      <c r="C46" s="22">
        <v>60</v>
      </c>
      <c r="D46" s="23">
        <v>38000</v>
      </c>
      <c r="E46" s="23">
        <f t="shared" si="1"/>
        <v>2280000</v>
      </c>
      <c r="F46" s="26">
        <v>45462</v>
      </c>
      <c r="G46" s="27">
        <v>5100000</v>
      </c>
    </row>
    <row r="47" spans="1:7" x14ac:dyDescent="0.25">
      <c r="A47" s="21"/>
      <c r="B47" t="s">
        <v>336</v>
      </c>
      <c r="C47" s="22">
        <v>64</v>
      </c>
      <c r="D47" s="23">
        <v>40000</v>
      </c>
      <c r="E47" s="23">
        <f t="shared" si="1"/>
        <v>2560000</v>
      </c>
      <c r="F47" s="26">
        <v>45463</v>
      </c>
      <c r="G47" s="27">
        <v>6000000</v>
      </c>
    </row>
    <row r="48" spans="1:7" x14ac:dyDescent="0.25">
      <c r="A48" s="21">
        <v>45430</v>
      </c>
      <c r="B48" t="s">
        <v>333</v>
      </c>
      <c r="C48" s="22">
        <v>110</v>
      </c>
      <c r="D48" s="23">
        <v>52000</v>
      </c>
      <c r="E48" s="23">
        <f t="shared" si="1"/>
        <v>5720000</v>
      </c>
      <c r="F48" s="26">
        <v>45464</v>
      </c>
      <c r="G48" s="27">
        <v>11000000</v>
      </c>
    </row>
    <row r="49" spans="1:7" x14ac:dyDescent="0.25">
      <c r="A49" s="21"/>
      <c r="B49" t="s">
        <v>324</v>
      </c>
      <c r="C49" s="22">
        <v>182</v>
      </c>
      <c r="D49" s="23">
        <v>43000</v>
      </c>
      <c r="E49" s="23">
        <f t="shared" si="1"/>
        <v>7826000</v>
      </c>
      <c r="F49" s="45">
        <v>45465</v>
      </c>
      <c r="G49" s="17">
        <v>10000000</v>
      </c>
    </row>
    <row r="50" spans="1:7" x14ac:dyDescent="0.25">
      <c r="A50" s="21">
        <v>45431</v>
      </c>
      <c r="B50" t="s">
        <v>324</v>
      </c>
      <c r="C50" s="22">
        <v>82</v>
      </c>
      <c r="D50" s="23">
        <v>43000</v>
      </c>
      <c r="E50" s="23">
        <f t="shared" si="1"/>
        <v>3526000</v>
      </c>
      <c r="F50" s="26">
        <v>45466</v>
      </c>
      <c r="G50" s="27">
        <v>13570000</v>
      </c>
    </row>
    <row r="51" spans="1:7" x14ac:dyDescent="0.25">
      <c r="A51" s="21"/>
      <c r="B51" t="s">
        <v>337</v>
      </c>
      <c r="C51" s="22">
        <f>96+96</f>
        <v>192</v>
      </c>
      <c r="D51" s="23">
        <v>40000</v>
      </c>
      <c r="E51" s="23">
        <f t="shared" si="1"/>
        <v>7680000</v>
      </c>
      <c r="F51" s="85">
        <v>45468</v>
      </c>
      <c r="G51" s="86">
        <v>17000000</v>
      </c>
    </row>
    <row r="52" spans="1:7" x14ac:dyDescent="0.25">
      <c r="A52" s="43"/>
      <c r="B52" t="s">
        <v>326</v>
      </c>
      <c r="C52" s="22">
        <v>80</v>
      </c>
      <c r="D52" s="20">
        <v>38000</v>
      </c>
      <c r="E52" s="23">
        <f t="shared" si="1"/>
        <v>3040000</v>
      </c>
      <c r="F52" s="26">
        <v>45469</v>
      </c>
      <c r="G52" s="27">
        <v>5000000</v>
      </c>
    </row>
    <row r="53" spans="1:7" x14ac:dyDescent="0.25">
      <c r="A53" s="21">
        <v>45433</v>
      </c>
      <c r="B53" t="s">
        <v>333</v>
      </c>
      <c r="C53" s="22">
        <v>134</v>
      </c>
      <c r="D53" s="23">
        <v>52000</v>
      </c>
      <c r="E53" s="23">
        <f t="shared" si="1"/>
        <v>6968000</v>
      </c>
      <c r="F53" s="26">
        <v>45470</v>
      </c>
      <c r="G53" s="27">
        <v>6650000</v>
      </c>
    </row>
    <row r="54" spans="1:7" x14ac:dyDescent="0.25">
      <c r="A54" s="21"/>
      <c r="B54" t="s">
        <v>337</v>
      </c>
      <c r="C54" s="22">
        <v>102</v>
      </c>
      <c r="D54" s="23">
        <v>40000</v>
      </c>
      <c r="E54" s="23">
        <f t="shared" si="1"/>
        <v>4080000</v>
      </c>
      <c r="F54" s="26">
        <v>45471</v>
      </c>
      <c r="G54" s="27">
        <v>12400000</v>
      </c>
    </row>
    <row r="55" spans="1:7" x14ac:dyDescent="0.25">
      <c r="A55" s="21">
        <v>45435</v>
      </c>
      <c r="B55" t="s">
        <v>334</v>
      </c>
      <c r="C55" s="22">
        <v>72</v>
      </c>
      <c r="D55" s="23">
        <v>43000</v>
      </c>
      <c r="E55" s="23">
        <f t="shared" si="1"/>
        <v>3096000</v>
      </c>
      <c r="F55" s="26">
        <v>45472</v>
      </c>
      <c r="G55" s="27">
        <v>4300000</v>
      </c>
    </row>
    <row r="56" spans="1:7" x14ac:dyDescent="0.25">
      <c r="A56" s="21"/>
      <c r="B56" t="s">
        <v>326</v>
      </c>
      <c r="C56" s="22">
        <v>80</v>
      </c>
      <c r="D56" s="23">
        <v>38000</v>
      </c>
      <c r="E56" s="23">
        <f t="shared" si="1"/>
        <v>3040000</v>
      </c>
      <c r="F56" s="26">
        <v>45473</v>
      </c>
      <c r="G56" s="27">
        <v>3000000</v>
      </c>
    </row>
    <row r="57" spans="1:7" x14ac:dyDescent="0.25">
      <c r="A57" s="21">
        <v>45436</v>
      </c>
      <c r="B57" t="s">
        <v>333</v>
      </c>
      <c r="C57" s="22">
        <v>100</v>
      </c>
      <c r="D57" s="23">
        <v>52000</v>
      </c>
      <c r="E57" s="23">
        <f t="shared" si="1"/>
        <v>5200000</v>
      </c>
      <c r="F57" s="94"/>
      <c r="G57" s="95"/>
    </row>
    <row r="58" spans="1:7" x14ac:dyDescent="0.25">
      <c r="A58" s="21"/>
      <c r="B58" t="s">
        <v>338</v>
      </c>
      <c r="C58" s="22">
        <v>20</v>
      </c>
      <c r="D58" s="23">
        <v>57000</v>
      </c>
      <c r="E58" s="23">
        <f t="shared" si="1"/>
        <v>1140000</v>
      </c>
      <c r="F58" s="26"/>
      <c r="G58" s="27"/>
    </row>
    <row r="59" spans="1:7" x14ac:dyDescent="0.25">
      <c r="A59" s="21"/>
      <c r="B59" t="s">
        <v>324</v>
      </c>
      <c r="C59" s="22">
        <v>140</v>
      </c>
      <c r="D59" s="23">
        <v>43000</v>
      </c>
      <c r="E59" s="23">
        <f t="shared" si="1"/>
        <v>6020000</v>
      </c>
      <c r="F59" s="26"/>
      <c r="G59" s="27"/>
    </row>
    <row r="60" spans="1:7" x14ac:dyDescent="0.25">
      <c r="A60" s="21">
        <v>45437</v>
      </c>
      <c r="B60" t="s">
        <v>324</v>
      </c>
      <c r="C60" s="22">
        <v>136</v>
      </c>
      <c r="D60" s="23">
        <v>43000</v>
      </c>
      <c r="E60" s="23">
        <f t="shared" si="1"/>
        <v>5848000</v>
      </c>
      <c r="F60" s="26"/>
      <c r="G60" s="27"/>
    </row>
    <row r="61" spans="1:7" x14ac:dyDescent="0.25">
      <c r="A61" s="21">
        <v>45438</v>
      </c>
      <c r="B61" t="s">
        <v>333</v>
      </c>
      <c r="C61" s="22">
        <v>100</v>
      </c>
      <c r="D61" s="23">
        <v>57000</v>
      </c>
      <c r="E61" s="23">
        <f t="shared" si="1"/>
        <v>5700000</v>
      </c>
      <c r="F61" s="26"/>
      <c r="G61" s="27"/>
    </row>
    <row r="62" spans="1:7" x14ac:dyDescent="0.25">
      <c r="A62" s="21"/>
      <c r="B62" t="s">
        <v>328</v>
      </c>
      <c r="C62" s="22">
        <v>40</v>
      </c>
      <c r="D62" s="23">
        <v>40000</v>
      </c>
      <c r="E62" s="23">
        <f t="shared" si="1"/>
        <v>1600000</v>
      </c>
      <c r="F62" s="26"/>
      <c r="G62" s="27"/>
    </row>
    <row r="63" spans="1:7" x14ac:dyDescent="0.25">
      <c r="A63" s="21"/>
      <c r="B63" t="s">
        <v>340</v>
      </c>
      <c r="C63" s="22">
        <v>32</v>
      </c>
      <c r="D63" s="23">
        <v>40000</v>
      </c>
      <c r="E63" s="23">
        <f t="shared" si="1"/>
        <v>1280000</v>
      </c>
      <c r="F63" s="85"/>
      <c r="G63" s="86"/>
    </row>
    <row r="64" spans="1:7" x14ac:dyDescent="0.25">
      <c r="A64" s="43">
        <v>45440</v>
      </c>
      <c r="B64" t="s">
        <v>333</v>
      </c>
      <c r="C64" s="22">
        <v>96</v>
      </c>
      <c r="D64" s="20">
        <v>52000</v>
      </c>
      <c r="E64" s="67">
        <f t="shared" si="1"/>
        <v>4992000</v>
      </c>
      <c r="F64" s="45"/>
      <c r="G64" s="17"/>
    </row>
    <row r="65" spans="1:7" x14ac:dyDescent="0.25">
      <c r="A65" s="21"/>
      <c r="B65" t="s">
        <v>339</v>
      </c>
      <c r="C65" s="22">
        <v>110</v>
      </c>
      <c r="D65" s="23">
        <v>40000</v>
      </c>
      <c r="E65" s="23">
        <f t="shared" si="1"/>
        <v>4400000</v>
      </c>
      <c r="F65" s="26"/>
      <c r="G65" s="27"/>
    </row>
    <row r="66" spans="1:7" x14ac:dyDescent="0.25">
      <c r="A66" s="21">
        <v>45441</v>
      </c>
      <c r="B66" t="s">
        <v>341</v>
      </c>
      <c r="C66" s="22">
        <v>96</v>
      </c>
      <c r="D66" s="23">
        <v>52000</v>
      </c>
      <c r="E66" s="23">
        <f t="shared" si="1"/>
        <v>4992000</v>
      </c>
      <c r="F66" s="26"/>
      <c r="G66" s="27"/>
    </row>
    <row r="67" spans="1:7" x14ac:dyDescent="0.25">
      <c r="A67" s="43"/>
      <c r="B67" t="s">
        <v>339</v>
      </c>
      <c r="C67" s="22">
        <v>22</v>
      </c>
      <c r="D67" s="20">
        <v>40000</v>
      </c>
      <c r="E67" s="20">
        <f t="shared" si="1"/>
        <v>880000</v>
      </c>
      <c r="F67" s="26"/>
      <c r="G67" s="27"/>
    </row>
    <row r="68" spans="1:7" x14ac:dyDescent="0.25">
      <c r="A68" s="21">
        <v>45442</v>
      </c>
      <c r="B68" t="s">
        <v>339</v>
      </c>
      <c r="C68" s="22">
        <v>126</v>
      </c>
      <c r="D68" s="23">
        <v>40000</v>
      </c>
      <c r="E68" s="23">
        <f t="shared" ref="E68:E99" si="2">C68*D68</f>
        <v>5040000</v>
      </c>
      <c r="F68" s="26"/>
      <c r="G68" s="27"/>
    </row>
    <row r="69" spans="1:7" x14ac:dyDescent="0.25">
      <c r="A69" s="21">
        <v>45443</v>
      </c>
      <c r="B69" t="s">
        <v>339</v>
      </c>
      <c r="C69" s="22">
        <v>154</v>
      </c>
      <c r="D69" s="23">
        <v>40000</v>
      </c>
      <c r="E69" s="23">
        <f t="shared" si="2"/>
        <v>6160000</v>
      </c>
      <c r="F69" s="26"/>
      <c r="G69" s="27"/>
    </row>
    <row r="70" spans="1:7" x14ac:dyDescent="0.25">
      <c r="A70" s="99">
        <v>45444</v>
      </c>
      <c r="B70" s="100" t="s">
        <v>333</v>
      </c>
      <c r="C70" s="101">
        <v>178</v>
      </c>
      <c r="D70" s="102">
        <v>52000</v>
      </c>
      <c r="E70" s="102">
        <f t="shared" si="2"/>
        <v>9256000</v>
      </c>
      <c r="F70" s="26"/>
      <c r="G70" s="27"/>
    </row>
    <row r="71" spans="1:7" x14ac:dyDescent="0.25">
      <c r="A71" s="21">
        <v>45447</v>
      </c>
      <c r="B71" t="s">
        <v>333</v>
      </c>
      <c r="C71" s="22">
        <v>90</v>
      </c>
      <c r="D71" s="23">
        <v>47000</v>
      </c>
      <c r="E71" s="23">
        <f t="shared" si="2"/>
        <v>4230000</v>
      </c>
      <c r="F71" s="26"/>
      <c r="G71" s="27"/>
    </row>
    <row r="72" spans="1:7" x14ac:dyDescent="0.25">
      <c r="A72" s="82">
        <v>45448</v>
      </c>
      <c r="B72" s="50" t="s">
        <v>339</v>
      </c>
      <c r="C72" s="83">
        <v>108</v>
      </c>
      <c r="D72" s="84">
        <v>37000</v>
      </c>
      <c r="E72" s="84">
        <f t="shared" si="2"/>
        <v>3996000</v>
      </c>
      <c r="F72" s="45"/>
      <c r="G72" s="17"/>
    </row>
    <row r="73" spans="1:7" x14ac:dyDescent="0.25">
      <c r="A73" s="21">
        <v>45448</v>
      </c>
      <c r="B73" t="s">
        <v>331</v>
      </c>
      <c r="C73" s="22">
        <v>90</v>
      </c>
      <c r="D73" s="23">
        <v>42000</v>
      </c>
      <c r="E73" s="23">
        <f t="shared" si="2"/>
        <v>3780000</v>
      </c>
      <c r="F73" s="26"/>
      <c r="G73" s="27"/>
    </row>
    <row r="74" spans="1:7" x14ac:dyDescent="0.25">
      <c r="A74" s="43">
        <v>45449</v>
      </c>
      <c r="B74" t="s">
        <v>344</v>
      </c>
      <c r="C74" s="22">
        <v>84</v>
      </c>
      <c r="D74" s="20">
        <v>40000</v>
      </c>
      <c r="E74" s="20">
        <f t="shared" si="2"/>
        <v>3360000</v>
      </c>
      <c r="F74" s="26"/>
      <c r="G74" s="27"/>
    </row>
    <row r="75" spans="1:7" x14ac:dyDescent="0.25">
      <c r="A75" s="21"/>
      <c r="B75" t="s">
        <v>323</v>
      </c>
      <c r="C75" s="22">
        <v>88</v>
      </c>
      <c r="D75" s="23">
        <v>37000</v>
      </c>
      <c r="E75" s="23">
        <f t="shared" si="2"/>
        <v>3256000</v>
      </c>
      <c r="F75" s="26"/>
      <c r="G75" s="27"/>
    </row>
    <row r="76" spans="1:7" x14ac:dyDescent="0.25">
      <c r="A76" s="21">
        <v>45450</v>
      </c>
      <c r="B76" t="s">
        <v>345</v>
      </c>
      <c r="C76" s="22">
        <v>58</v>
      </c>
      <c r="D76" s="23">
        <v>50000</v>
      </c>
      <c r="E76" s="23">
        <f t="shared" si="2"/>
        <v>2900000</v>
      </c>
      <c r="F76" s="26"/>
      <c r="G76" s="27"/>
    </row>
    <row r="77" spans="1:7" x14ac:dyDescent="0.25">
      <c r="A77" s="21"/>
      <c r="B77" t="s">
        <v>331</v>
      </c>
      <c r="C77" s="22">
        <v>48</v>
      </c>
      <c r="D77" s="23">
        <v>42000</v>
      </c>
      <c r="E77" s="23">
        <f t="shared" si="2"/>
        <v>2016000</v>
      </c>
      <c r="F77" s="26"/>
      <c r="G77" s="27"/>
    </row>
    <row r="78" spans="1:7" x14ac:dyDescent="0.25">
      <c r="A78" s="21"/>
      <c r="B78" t="s">
        <v>333</v>
      </c>
      <c r="C78" s="22">
        <v>100</v>
      </c>
      <c r="D78" s="23">
        <v>47000</v>
      </c>
      <c r="E78" s="23">
        <f t="shared" si="2"/>
        <v>4700000</v>
      </c>
      <c r="F78" s="26"/>
      <c r="G78" s="27"/>
    </row>
    <row r="79" spans="1:7" x14ac:dyDescent="0.25">
      <c r="A79" s="43">
        <v>45451</v>
      </c>
      <c r="B79" t="s">
        <v>345</v>
      </c>
      <c r="C79" s="22">
        <v>64</v>
      </c>
      <c r="D79" s="20">
        <v>50000</v>
      </c>
      <c r="E79" s="20">
        <f t="shared" si="2"/>
        <v>3200000</v>
      </c>
      <c r="F79" s="26"/>
      <c r="G79" s="27"/>
    </row>
    <row r="80" spans="1:7" x14ac:dyDescent="0.25">
      <c r="A80" s="21"/>
      <c r="B80" t="s">
        <v>328</v>
      </c>
      <c r="C80" s="22">
        <v>60</v>
      </c>
      <c r="D80" s="23">
        <v>42000</v>
      </c>
      <c r="E80" s="23">
        <f t="shared" si="2"/>
        <v>2520000</v>
      </c>
      <c r="F80" s="45"/>
      <c r="G80" s="17"/>
    </row>
    <row r="81" spans="1:7" x14ac:dyDescent="0.25">
      <c r="A81" s="21"/>
      <c r="B81" t="s">
        <v>344</v>
      </c>
      <c r="C81" s="22">
        <v>104</v>
      </c>
      <c r="D81" s="23">
        <v>40000</v>
      </c>
      <c r="E81" s="23">
        <f t="shared" si="2"/>
        <v>4160000</v>
      </c>
      <c r="F81" s="26"/>
      <c r="G81" s="17"/>
    </row>
    <row r="82" spans="1:7" x14ac:dyDescent="0.25">
      <c r="A82" s="21">
        <v>45452</v>
      </c>
      <c r="B82" t="s">
        <v>339</v>
      </c>
      <c r="C82" s="22">
        <v>202</v>
      </c>
      <c r="D82" s="23">
        <v>37000</v>
      </c>
      <c r="E82" s="23">
        <f t="shared" si="2"/>
        <v>7474000</v>
      </c>
      <c r="F82" s="26"/>
      <c r="G82" s="17"/>
    </row>
    <row r="83" spans="1:7" x14ac:dyDescent="0.25">
      <c r="A83" s="21"/>
      <c r="B83" t="s">
        <v>344</v>
      </c>
      <c r="C83" s="22">
        <v>104</v>
      </c>
      <c r="D83" s="23">
        <v>40000</v>
      </c>
      <c r="E83" s="23">
        <f t="shared" si="2"/>
        <v>4160000</v>
      </c>
      <c r="F83" s="45"/>
      <c r="G83" s="17"/>
    </row>
    <row r="84" spans="1:7" x14ac:dyDescent="0.25">
      <c r="A84" s="21"/>
      <c r="B84" t="s">
        <v>331</v>
      </c>
      <c r="C84" s="22">
        <v>20</v>
      </c>
      <c r="D84" s="23">
        <v>42000</v>
      </c>
      <c r="E84" s="23">
        <f t="shared" si="2"/>
        <v>840000</v>
      </c>
      <c r="F84" s="45"/>
      <c r="G84" s="17"/>
    </row>
    <row r="85" spans="1:7" x14ac:dyDescent="0.25">
      <c r="A85" s="21"/>
      <c r="B85" t="s">
        <v>328</v>
      </c>
      <c r="C85" s="22">
        <v>60</v>
      </c>
      <c r="D85" s="23">
        <v>42000</v>
      </c>
      <c r="E85" s="23">
        <f t="shared" si="2"/>
        <v>2520000</v>
      </c>
      <c r="F85" s="45"/>
      <c r="G85" s="17"/>
    </row>
    <row r="86" spans="1:7" x14ac:dyDescent="0.25">
      <c r="A86" s="21">
        <v>45454</v>
      </c>
      <c r="B86" t="s">
        <v>344</v>
      </c>
      <c r="C86" s="22">
        <v>112</v>
      </c>
      <c r="D86" s="23">
        <v>40000</v>
      </c>
      <c r="E86" s="23">
        <f t="shared" si="2"/>
        <v>4480000</v>
      </c>
      <c r="F86" s="45"/>
      <c r="G86" s="17"/>
    </row>
    <row r="87" spans="1:7" x14ac:dyDescent="0.25">
      <c r="A87" s="21"/>
      <c r="B87" t="s">
        <v>328</v>
      </c>
      <c r="C87" s="22">
        <v>52</v>
      </c>
      <c r="D87" s="23">
        <v>42000</v>
      </c>
      <c r="E87" s="23">
        <f t="shared" si="2"/>
        <v>2184000</v>
      </c>
      <c r="F87" s="45"/>
      <c r="G87" s="17"/>
    </row>
    <row r="88" spans="1:7" x14ac:dyDescent="0.25">
      <c r="A88" s="21"/>
      <c r="B88" t="s">
        <v>333</v>
      </c>
      <c r="C88" s="22">
        <v>100</v>
      </c>
      <c r="D88" s="23">
        <v>47000</v>
      </c>
      <c r="E88" s="23">
        <f t="shared" si="2"/>
        <v>4700000</v>
      </c>
      <c r="F88" s="45"/>
      <c r="G88" s="17"/>
    </row>
    <row r="89" spans="1:7" x14ac:dyDescent="0.25">
      <c r="A89" s="21"/>
      <c r="B89" t="s">
        <v>323</v>
      </c>
      <c r="C89" s="22">
        <v>30</v>
      </c>
      <c r="D89" s="23">
        <v>37000</v>
      </c>
      <c r="E89" s="23">
        <f t="shared" si="2"/>
        <v>1110000</v>
      </c>
      <c r="F89" s="45"/>
      <c r="G89" s="17"/>
    </row>
    <row r="90" spans="1:7" x14ac:dyDescent="0.25">
      <c r="A90" s="43">
        <v>45455</v>
      </c>
      <c r="B90" s="1" t="s">
        <v>345</v>
      </c>
      <c r="C90" s="98">
        <v>88</v>
      </c>
      <c r="D90" s="67">
        <v>53000</v>
      </c>
      <c r="E90" s="67">
        <f t="shared" si="2"/>
        <v>4664000</v>
      </c>
      <c r="F90" s="45"/>
      <c r="G90" s="17"/>
    </row>
    <row r="91" spans="1:7" x14ac:dyDescent="0.25">
      <c r="A91" s="21"/>
      <c r="B91" s="1" t="s">
        <v>344</v>
      </c>
      <c r="C91" s="96">
        <v>110</v>
      </c>
      <c r="D91" s="67">
        <v>40000</v>
      </c>
      <c r="E91" s="67">
        <f t="shared" si="2"/>
        <v>4400000</v>
      </c>
      <c r="F91" s="45"/>
      <c r="G91" s="17"/>
    </row>
    <row r="92" spans="1:7" x14ac:dyDescent="0.25">
      <c r="A92" s="21">
        <v>45456</v>
      </c>
      <c r="B92" s="1" t="s">
        <v>344</v>
      </c>
      <c r="C92" s="96">
        <v>236</v>
      </c>
      <c r="D92" s="67">
        <v>40000</v>
      </c>
      <c r="E92" s="67">
        <f t="shared" si="2"/>
        <v>9440000</v>
      </c>
      <c r="F92" s="45"/>
      <c r="G92" s="17"/>
    </row>
    <row r="93" spans="1:7" x14ac:dyDescent="0.25">
      <c r="A93" s="21"/>
      <c r="B93" s="1" t="s">
        <v>328</v>
      </c>
      <c r="C93" s="96">
        <v>80</v>
      </c>
      <c r="D93" s="67">
        <v>42000</v>
      </c>
      <c r="E93" s="67">
        <f t="shared" si="2"/>
        <v>3360000</v>
      </c>
      <c r="F93" s="45"/>
      <c r="G93" s="17"/>
    </row>
    <row r="94" spans="1:7" x14ac:dyDescent="0.25">
      <c r="A94" s="21">
        <v>45457</v>
      </c>
      <c r="B94" s="1" t="s">
        <v>347</v>
      </c>
      <c r="C94" s="96">
        <v>96</v>
      </c>
      <c r="D94" s="67">
        <v>38000</v>
      </c>
      <c r="E94" s="67">
        <f t="shared" si="2"/>
        <v>3648000</v>
      </c>
      <c r="F94" s="45"/>
      <c r="G94" s="17"/>
    </row>
    <row r="95" spans="1:7" x14ac:dyDescent="0.25">
      <c r="A95" s="21"/>
      <c r="B95" s="1" t="s">
        <v>328</v>
      </c>
      <c r="C95" s="96">
        <v>44</v>
      </c>
      <c r="D95" s="67">
        <v>42000</v>
      </c>
      <c r="E95" s="67">
        <f t="shared" si="2"/>
        <v>1848000</v>
      </c>
      <c r="F95" s="45"/>
      <c r="G95" s="17"/>
    </row>
    <row r="96" spans="1:7" x14ac:dyDescent="0.25">
      <c r="A96" s="21"/>
      <c r="B96" s="1" t="s">
        <v>333</v>
      </c>
      <c r="C96" s="96">
        <v>100</v>
      </c>
      <c r="D96" s="67">
        <v>47000</v>
      </c>
      <c r="E96" s="67">
        <f t="shared" si="2"/>
        <v>4700000</v>
      </c>
      <c r="F96" s="45"/>
      <c r="G96" s="17"/>
    </row>
    <row r="97" spans="1:7" x14ac:dyDescent="0.25">
      <c r="A97" s="21">
        <v>45458</v>
      </c>
      <c r="B97" s="1" t="s">
        <v>344</v>
      </c>
      <c r="C97" s="96">
        <v>200</v>
      </c>
      <c r="D97" s="67">
        <v>40000</v>
      </c>
      <c r="E97" s="67">
        <f t="shared" si="2"/>
        <v>8000000</v>
      </c>
      <c r="F97" s="45"/>
      <c r="G97" s="17"/>
    </row>
    <row r="98" spans="1:7" x14ac:dyDescent="0.25">
      <c r="A98" s="21"/>
      <c r="B98" s="1" t="s">
        <v>328</v>
      </c>
      <c r="C98" s="96">
        <v>46</v>
      </c>
      <c r="D98" s="67">
        <v>42000</v>
      </c>
      <c r="E98" s="67">
        <f t="shared" si="2"/>
        <v>1932000</v>
      </c>
      <c r="F98" s="45"/>
      <c r="G98" s="17"/>
    </row>
    <row r="99" spans="1:7" x14ac:dyDescent="0.25">
      <c r="A99" s="21"/>
      <c r="B99" s="1" t="s">
        <v>333</v>
      </c>
      <c r="C99" s="96">
        <v>72</v>
      </c>
      <c r="D99" s="67">
        <v>47000</v>
      </c>
      <c r="E99" s="67">
        <f t="shared" si="2"/>
        <v>3384000</v>
      </c>
      <c r="F99" s="45"/>
      <c r="G99" s="17"/>
    </row>
    <row r="100" spans="1:7" x14ac:dyDescent="0.25">
      <c r="A100" s="21">
        <v>45463</v>
      </c>
      <c r="B100" t="s">
        <v>347</v>
      </c>
      <c r="C100" s="22">
        <v>104</v>
      </c>
      <c r="D100" s="23">
        <v>38000</v>
      </c>
      <c r="E100" s="23">
        <f t="shared" ref="E100:E131" si="3">C100*D100</f>
        <v>3952000</v>
      </c>
      <c r="F100" s="45"/>
      <c r="G100" s="17"/>
    </row>
    <row r="101" spans="1:7" x14ac:dyDescent="0.25">
      <c r="A101" s="21"/>
      <c r="B101" t="s">
        <v>328</v>
      </c>
      <c r="C101" s="22">
        <v>58</v>
      </c>
      <c r="D101" s="23">
        <v>42000</v>
      </c>
      <c r="E101" s="23">
        <f t="shared" si="3"/>
        <v>2436000</v>
      </c>
      <c r="F101" s="45"/>
      <c r="G101" s="17"/>
    </row>
    <row r="102" spans="1:7" x14ac:dyDescent="0.25">
      <c r="A102" s="21">
        <v>45464</v>
      </c>
      <c r="B102" t="s">
        <v>344</v>
      </c>
      <c r="C102" s="22">
        <v>78</v>
      </c>
      <c r="D102" s="23">
        <v>40000</v>
      </c>
      <c r="E102" s="23">
        <f t="shared" si="3"/>
        <v>3120000</v>
      </c>
      <c r="F102" s="45"/>
      <c r="G102" s="17"/>
    </row>
    <row r="103" spans="1:7" x14ac:dyDescent="0.25">
      <c r="A103" s="43"/>
      <c r="B103" t="s">
        <v>347</v>
      </c>
      <c r="C103" s="22">
        <v>56</v>
      </c>
      <c r="D103" s="20">
        <v>38000</v>
      </c>
      <c r="E103" s="20">
        <f t="shared" si="3"/>
        <v>2128000</v>
      </c>
      <c r="F103" s="45"/>
      <c r="G103" s="17"/>
    </row>
    <row r="104" spans="1:7" x14ac:dyDescent="0.25">
      <c r="A104" s="21">
        <v>45465</v>
      </c>
      <c r="B104" t="s">
        <v>333</v>
      </c>
      <c r="C104" s="22">
        <v>70</v>
      </c>
      <c r="D104" s="23">
        <v>47000</v>
      </c>
      <c r="E104" s="23">
        <f t="shared" si="3"/>
        <v>3290000</v>
      </c>
      <c r="F104" s="45"/>
      <c r="G104" s="17"/>
    </row>
    <row r="105" spans="1:7" x14ac:dyDescent="0.25">
      <c r="A105" s="21"/>
      <c r="B105" t="s">
        <v>344</v>
      </c>
      <c r="C105" s="22">
        <v>210</v>
      </c>
      <c r="D105" s="23">
        <v>40000</v>
      </c>
      <c r="E105" s="23">
        <f t="shared" si="3"/>
        <v>8400000</v>
      </c>
      <c r="F105" s="45"/>
      <c r="G105" s="17"/>
    </row>
    <row r="106" spans="1:7" x14ac:dyDescent="0.25">
      <c r="A106" s="21"/>
      <c r="B106" t="s">
        <v>328</v>
      </c>
      <c r="C106" s="22">
        <v>52</v>
      </c>
      <c r="D106" s="23">
        <v>42000</v>
      </c>
      <c r="E106" s="23">
        <f t="shared" si="3"/>
        <v>2184000</v>
      </c>
      <c r="G106" s="17"/>
    </row>
    <row r="107" spans="1:7" x14ac:dyDescent="0.25">
      <c r="A107" s="21">
        <v>45466</v>
      </c>
      <c r="B107" t="s">
        <v>347</v>
      </c>
      <c r="C107" s="22">
        <v>96</v>
      </c>
      <c r="D107" s="23">
        <v>38000</v>
      </c>
      <c r="E107" s="23">
        <f t="shared" si="3"/>
        <v>3648000</v>
      </c>
    </row>
    <row r="108" spans="1:7" x14ac:dyDescent="0.25">
      <c r="A108" s="21"/>
      <c r="B108" t="s">
        <v>344</v>
      </c>
      <c r="C108" s="22">
        <v>300</v>
      </c>
      <c r="D108" s="23">
        <v>40000</v>
      </c>
      <c r="E108" s="23">
        <f t="shared" si="3"/>
        <v>12000000</v>
      </c>
    </row>
    <row r="109" spans="1:7" x14ac:dyDescent="0.25">
      <c r="A109" s="21"/>
      <c r="B109" t="s">
        <v>333</v>
      </c>
      <c r="C109" s="22">
        <v>66</v>
      </c>
      <c r="D109" s="23">
        <v>47000</v>
      </c>
      <c r="E109" s="23">
        <f t="shared" si="3"/>
        <v>3102000</v>
      </c>
    </row>
    <row r="110" spans="1:7" x14ac:dyDescent="0.25">
      <c r="A110" s="21">
        <v>45468</v>
      </c>
      <c r="B110" t="s">
        <v>348</v>
      </c>
      <c r="C110" s="22">
        <v>56</v>
      </c>
      <c r="D110" s="23">
        <v>40000</v>
      </c>
      <c r="E110" s="23">
        <f t="shared" si="3"/>
        <v>2240000</v>
      </c>
    </row>
    <row r="111" spans="1:7" x14ac:dyDescent="0.25">
      <c r="A111" s="21"/>
      <c r="B111" t="s">
        <v>331</v>
      </c>
      <c r="C111" s="22">
        <v>50</v>
      </c>
      <c r="D111" s="23">
        <v>42000</v>
      </c>
      <c r="E111" s="23">
        <f t="shared" ref="E111:E126" si="4">C111*D111</f>
        <v>2100000</v>
      </c>
    </row>
    <row r="112" spans="1:7" x14ac:dyDescent="0.25">
      <c r="A112" s="21"/>
      <c r="B112" t="s">
        <v>344</v>
      </c>
      <c r="C112" s="22">
        <v>234</v>
      </c>
      <c r="D112" s="23">
        <v>40000</v>
      </c>
      <c r="E112" s="23">
        <f t="shared" si="4"/>
        <v>9360000</v>
      </c>
    </row>
    <row r="113" spans="1:7" x14ac:dyDescent="0.25">
      <c r="A113" s="21">
        <v>45469</v>
      </c>
      <c r="B113" t="s">
        <v>344</v>
      </c>
      <c r="C113" s="22">
        <v>300</v>
      </c>
      <c r="D113" s="23">
        <v>40000</v>
      </c>
      <c r="E113" s="23">
        <f t="shared" si="4"/>
        <v>12000000</v>
      </c>
    </row>
    <row r="114" spans="1:7" x14ac:dyDescent="0.25">
      <c r="A114" s="21"/>
      <c r="B114" t="s">
        <v>331</v>
      </c>
      <c r="C114" s="22">
        <v>80</v>
      </c>
      <c r="D114" s="23">
        <v>42000</v>
      </c>
      <c r="E114" s="23">
        <f t="shared" si="4"/>
        <v>3360000</v>
      </c>
    </row>
    <row r="115" spans="1:7" x14ac:dyDescent="0.25">
      <c r="A115" s="21"/>
      <c r="B115" t="s">
        <v>348</v>
      </c>
      <c r="C115" s="22">
        <v>142</v>
      </c>
      <c r="D115" s="23">
        <v>40000</v>
      </c>
      <c r="E115" s="23">
        <f t="shared" si="4"/>
        <v>5680000</v>
      </c>
    </row>
    <row r="116" spans="1:7" x14ac:dyDescent="0.25">
      <c r="A116" s="21">
        <v>45470</v>
      </c>
      <c r="B116" t="s">
        <v>344</v>
      </c>
      <c r="C116" s="22">
        <v>274</v>
      </c>
      <c r="D116" s="23">
        <v>40000</v>
      </c>
      <c r="E116" s="23">
        <f t="shared" si="4"/>
        <v>10960000</v>
      </c>
    </row>
    <row r="117" spans="1:7" x14ac:dyDescent="0.25">
      <c r="A117" s="43"/>
      <c r="B117" t="s">
        <v>337</v>
      </c>
      <c r="C117" s="22">
        <v>50</v>
      </c>
      <c r="D117" s="20">
        <v>25000</v>
      </c>
      <c r="E117" s="23">
        <f t="shared" si="4"/>
        <v>1250000</v>
      </c>
    </row>
    <row r="118" spans="1:7" x14ac:dyDescent="0.25">
      <c r="A118" s="43">
        <v>45471</v>
      </c>
      <c r="B118" t="s">
        <v>348</v>
      </c>
      <c r="C118" s="22">
        <v>210</v>
      </c>
      <c r="D118" s="20">
        <v>40000</v>
      </c>
      <c r="E118" s="23">
        <f t="shared" si="4"/>
        <v>8400000</v>
      </c>
    </row>
    <row r="119" spans="1:7" x14ac:dyDescent="0.25">
      <c r="A119" s="43"/>
      <c r="B119" t="s">
        <v>349</v>
      </c>
      <c r="C119" s="22">
        <v>90</v>
      </c>
      <c r="D119" s="20">
        <v>33000</v>
      </c>
      <c r="E119" s="23">
        <f t="shared" si="4"/>
        <v>2970000</v>
      </c>
    </row>
    <row r="120" spans="1:7" x14ac:dyDescent="0.25">
      <c r="A120" s="43">
        <v>45473</v>
      </c>
      <c r="B120" t="s">
        <v>333</v>
      </c>
      <c r="C120" s="22">
        <v>80</v>
      </c>
      <c r="D120" s="20">
        <v>47000</v>
      </c>
      <c r="E120" s="23">
        <f t="shared" si="4"/>
        <v>3760000</v>
      </c>
    </row>
    <row r="121" spans="1:7" x14ac:dyDescent="0.25">
      <c r="A121" s="43"/>
      <c r="B121" t="s">
        <v>350</v>
      </c>
      <c r="C121" s="22">
        <v>228</v>
      </c>
      <c r="D121" s="20">
        <v>40000</v>
      </c>
      <c r="E121" s="23">
        <f t="shared" si="4"/>
        <v>9120000</v>
      </c>
    </row>
    <row r="122" spans="1:7" x14ac:dyDescent="0.25">
      <c r="A122" s="43"/>
      <c r="B122" t="s">
        <v>351</v>
      </c>
      <c r="C122" s="22">
        <v>52</v>
      </c>
      <c r="D122" s="20">
        <v>40000</v>
      </c>
      <c r="E122" s="23">
        <f t="shared" si="4"/>
        <v>2080000</v>
      </c>
    </row>
    <row r="123" spans="1:7" x14ac:dyDescent="0.25">
      <c r="A123" s="43"/>
      <c r="B123" t="s">
        <v>344</v>
      </c>
      <c r="C123" s="22">
        <v>4</v>
      </c>
      <c r="D123" s="20">
        <v>40000</v>
      </c>
      <c r="E123" s="23">
        <f t="shared" si="4"/>
        <v>160000</v>
      </c>
    </row>
    <row r="124" spans="1:7" x14ac:dyDescent="0.25">
      <c r="A124" s="43"/>
      <c r="B124" t="s">
        <v>349</v>
      </c>
      <c r="C124" s="22">
        <v>2</v>
      </c>
      <c r="D124" s="20">
        <v>33000</v>
      </c>
      <c r="E124" s="23">
        <f t="shared" si="4"/>
        <v>66000</v>
      </c>
    </row>
    <row r="125" spans="1:7" x14ac:dyDescent="0.25">
      <c r="A125" s="43"/>
      <c r="E125" s="23">
        <f t="shared" si="4"/>
        <v>0</v>
      </c>
    </row>
    <row r="126" spans="1:7" x14ac:dyDescent="0.25">
      <c r="A126" s="43"/>
      <c r="E126" s="23">
        <f t="shared" si="4"/>
        <v>0</v>
      </c>
      <c r="G126" s="27"/>
    </row>
    <row r="127" spans="1:7" x14ac:dyDescent="0.25">
      <c r="A127" s="43"/>
      <c r="E127" s="67">
        <f t="shared" ref="E127:E146" si="5">C127*D127</f>
        <v>0</v>
      </c>
    </row>
    <row r="128" spans="1:7" x14ac:dyDescent="0.25">
      <c r="A128" s="43"/>
      <c r="E128" s="67">
        <f t="shared" si="5"/>
        <v>0</v>
      </c>
    </row>
    <row r="129" spans="1:7" x14ac:dyDescent="0.25">
      <c r="A129" s="43"/>
      <c r="E129" s="67">
        <f t="shared" si="5"/>
        <v>0</v>
      </c>
    </row>
    <row r="130" spans="1:7" x14ac:dyDescent="0.25">
      <c r="A130" s="43"/>
      <c r="E130" s="67">
        <f t="shared" si="5"/>
        <v>0</v>
      </c>
      <c r="G130" s="27"/>
    </row>
    <row r="131" spans="1:7" x14ac:dyDescent="0.25">
      <c r="A131" s="43"/>
      <c r="E131" s="67">
        <f t="shared" si="5"/>
        <v>0</v>
      </c>
      <c r="G131" s="17"/>
    </row>
    <row r="132" spans="1:7" x14ac:dyDescent="0.25">
      <c r="E132" s="67">
        <f t="shared" si="5"/>
        <v>0</v>
      </c>
    </row>
    <row r="133" spans="1:7" x14ac:dyDescent="0.25">
      <c r="E133" s="67">
        <f t="shared" si="5"/>
        <v>0</v>
      </c>
    </row>
    <row r="134" spans="1:7" x14ac:dyDescent="0.25">
      <c r="E134" s="67">
        <f t="shared" si="5"/>
        <v>0</v>
      </c>
    </row>
    <row r="135" spans="1:7" x14ac:dyDescent="0.25">
      <c r="A135" s="43"/>
      <c r="E135" s="67">
        <f t="shared" si="5"/>
        <v>0</v>
      </c>
    </row>
    <row r="136" spans="1:7" x14ac:dyDescent="0.25">
      <c r="E136" s="67">
        <f t="shared" si="5"/>
        <v>0</v>
      </c>
    </row>
    <row r="137" spans="1:7" x14ac:dyDescent="0.25">
      <c r="E137" s="67">
        <f t="shared" si="5"/>
        <v>0</v>
      </c>
    </row>
    <row r="138" spans="1:7" x14ac:dyDescent="0.25">
      <c r="E138" s="67">
        <f t="shared" si="5"/>
        <v>0</v>
      </c>
    </row>
    <row r="139" spans="1:7" x14ac:dyDescent="0.25">
      <c r="E139" s="67">
        <f t="shared" si="5"/>
        <v>0</v>
      </c>
    </row>
    <row r="140" spans="1:7" x14ac:dyDescent="0.25">
      <c r="E140" s="67">
        <f t="shared" si="5"/>
        <v>0</v>
      </c>
    </row>
    <row r="141" spans="1:7" x14ac:dyDescent="0.25">
      <c r="A141" s="43"/>
      <c r="E141" s="67">
        <f t="shared" si="5"/>
        <v>0</v>
      </c>
    </row>
    <row r="142" spans="1:7" x14ac:dyDescent="0.25">
      <c r="E142" s="67">
        <f t="shared" si="5"/>
        <v>0</v>
      </c>
    </row>
    <row r="143" spans="1:7" x14ac:dyDescent="0.25">
      <c r="E143" s="67">
        <f t="shared" si="5"/>
        <v>0</v>
      </c>
    </row>
    <row r="144" spans="1:7" x14ac:dyDescent="0.25">
      <c r="E144" s="67">
        <f t="shared" si="5"/>
        <v>0</v>
      </c>
    </row>
    <row r="145" spans="5:5" x14ac:dyDescent="0.25">
      <c r="E145" s="67">
        <f t="shared" si="5"/>
        <v>0</v>
      </c>
    </row>
    <row r="146" spans="5:5" x14ac:dyDescent="0.25">
      <c r="E146" s="67">
        <f t="shared" si="5"/>
        <v>0</v>
      </c>
    </row>
    <row r="147" spans="5:5" x14ac:dyDescent="0.25">
      <c r="E147" s="67"/>
    </row>
    <row r="148" spans="5:5" x14ac:dyDescent="0.25">
      <c r="E148" s="67"/>
    </row>
    <row r="149" spans="5:5" x14ac:dyDescent="0.25">
      <c r="E149" s="67"/>
    </row>
    <row r="150" spans="5:5" x14ac:dyDescent="0.25">
      <c r="E150" s="67"/>
    </row>
    <row r="151" spans="5:5" x14ac:dyDescent="0.25">
      <c r="E151" s="67"/>
    </row>
    <row r="199" spans="5:7" x14ac:dyDescent="0.25">
      <c r="E199" s="23">
        <f>SUM(E3:E198)</f>
        <v>493267000</v>
      </c>
      <c r="G199" s="27">
        <f>SUM(G3:G198)</f>
        <v>438581000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F922-D402-DE4E-8E12-6FBECB310AC9}">
  <dimension ref="A1:K200"/>
  <sheetViews>
    <sheetView topLeftCell="A6" zoomScaleNormal="100" zoomScaleSheetLayoutView="100" workbookViewId="0">
      <selection activeCell="A104" sqref="A104"/>
    </sheetView>
  </sheetViews>
  <sheetFormatPr defaultRowHeight="15" x14ac:dyDescent="0.25"/>
  <cols>
    <col min="1" max="1" width="10.7109375" bestFit="1" customWidth="1"/>
    <col min="2" max="2" width="18.5703125" customWidth="1"/>
    <col min="3" max="3" width="8.7109375" style="22" bestFit="1" customWidth="1"/>
    <col min="4" max="4" width="11.28515625" style="20" bestFit="1" customWidth="1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'2023 сентябр'!I3</f>
        <v>34995000</v>
      </c>
      <c r="F3" s="26">
        <v>45294</v>
      </c>
      <c r="G3" s="27">
        <v>1610000</v>
      </c>
      <c r="I3" s="110">
        <f>E199-G199</f>
        <v>16871000</v>
      </c>
      <c r="J3" s="111"/>
    </row>
    <row r="4" spans="1:11" x14ac:dyDescent="0.25">
      <c r="A4" s="21">
        <v>45295</v>
      </c>
      <c r="B4" t="s">
        <v>284</v>
      </c>
      <c r="C4" s="22">
        <v>112</v>
      </c>
      <c r="D4" s="23">
        <v>67000</v>
      </c>
      <c r="E4" s="23">
        <f t="shared" ref="E4:E35" si="0">C4*D4</f>
        <v>7504000</v>
      </c>
      <c r="F4" s="26">
        <v>45295</v>
      </c>
      <c r="G4" s="27">
        <v>6600000</v>
      </c>
      <c r="I4" s="89" t="s">
        <v>132</v>
      </c>
      <c r="J4" s="90">
        <v>11550</v>
      </c>
    </row>
    <row r="5" spans="1:11" ht="15.75" thickBot="1" x14ac:dyDescent="0.3">
      <c r="A5" s="21">
        <v>45296</v>
      </c>
      <c r="B5" t="s">
        <v>285</v>
      </c>
      <c r="C5" s="22">
        <v>180</v>
      </c>
      <c r="D5" s="23">
        <v>39000</v>
      </c>
      <c r="E5" s="67">
        <f t="shared" si="0"/>
        <v>7020000</v>
      </c>
      <c r="F5" s="26">
        <v>45296</v>
      </c>
      <c r="G5" s="27">
        <v>6300000</v>
      </c>
      <c r="I5" s="112">
        <f>I3/J4</f>
        <v>1460.6926406926407</v>
      </c>
      <c r="J5" s="113"/>
    </row>
    <row r="6" spans="1:11" ht="15.75" thickBot="1" x14ac:dyDescent="0.3">
      <c r="A6" s="21">
        <v>45297</v>
      </c>
      <c r="B6" t="s">
        <v>287</v>
      </c>
      <c r="C6" s="22">
        <v>12</v>
      </c>
      <c r="D6" s="23">
        <v>52000</v>
      </c>
      <c r="E6" s="23">
        <f t="shared" si="0"/>
        <v>624000</v>
      </c>
      <c r="F6" s="26">
        <v>45297</v>
      </c>
      <c r="G6" s="27">
        <v>5600000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/>
      <c r="B7" t="s">
        <v>286</v>
      </c>
      <c r="C7" s="22">
        <v>108</v>
      </c>
      <c r="D7" s="23">
        <v>40000</v>
      </c>
      <c r="E7" s="23">
        <f t="shared" si="0"/>
        <v>4320000</v>
      </c>
      <c r="F7" s="26">
        <v>45298</v>
      </c>
      <c r="G7" s="27">
        <v>16520000</v>
      </c>
    </row>
    <row r="8" spans="1:11" ht="15.75" thickBot="1" x14ac:dyDescent="0.3">
      <c r="A8" s="21">
        <v>45298</v>
      </c>
      <c r="B8" t="s">
        <v>284</v>
      </c>
      <c r="C8" s="22">
        <v>160</v>
      </c>
      <c r="D8" s="23">
        <v>67000</v>
      </c>
      <c r="E8" s="23">
        <f t="shared" si="0"/>
        <v>10720000</v>
      </c>
      <c r="F8" s="26">
        <v>45300</v>
      </c>
      <c r="G8" s="27">
        <v>10000000</v>
      </c>
      <c r="I8" s="29" t="s">
        <v>15</v>
      </c>
      <c r="J8" s="30">
        <f>I3-J6</f>
        <v>-18505000</v>
      </c>
    </row>
    <row r="9" spans="1:11" x14ac:dyDescent="0.25">
      <c r="A9" s="21">
        <v>45300</v>
      </c>
      <c r="B9" t="s">
        <v>288</v>
      </c>
      <c r="C9" s="22">
        <v>80</v>
      </c>
      <c r="D9" s="23">
        <v>55000</v>
      </c>
      <c r="E9" s="23">
        <f t="shared" si="0"/>
        <v>4400000</v>
      </c>
      <c r="F9" s="26">
        <v>45301</v>
      </c>
      <c r="G9" s="27">
        <v>3750000</v>
      </c>
      <c r="J9" s="7"/>
    </row>
    <row r="10" spans="1:11" ht="15.75" thickBot="1" x14ac:dyDescent="0.3">
      <c r="A10" s="43"/>
      <c r="B10" t="s">
        <v>284</v>
      </c>
      <c r="C10" s="22">
        <v>64</v>
      </c>
      <c r="D10" s="20">
        <v>67000</v>
      </c>
      <c r="E10" s="20">
        <f t="shared" si="0"/>
        <v>4288000</v>
      </c>
      <c r="F10" s="26">
        <v>45302</v>
      </c>
      <c r="G10" s="27">
        <v>14700000</v>
      </c>
    </row>
    <row r="11" spans="1:11" ht="15.75" thickBot="1" x14ac:dyDescent="0.3">
      <c r="A11" s="21">
        <v>45301</v>
      </c>
      <c r="B11" t="s">
        <v>288</v>
      </c>
      <c r="C11" s="22">
        <v>98</v>
      </c>
      <c r="D11" s="23">
        <v>55000</v>
      </c>
      <c r="E11" s="23">
        <f t="shared" si="0"/>
        <v>5390000</v>
      </c>
      <c r="F11" s="26">
        <v>45303</v>
      </c>
      <c r="G11" s="27">
        <v>8100000</v>
      </c>
      <c r="I11" s="54" t="s">
        <v>66</v>
      </c>
      <c r="J11" s="55"/>
    </row>
    <row r="12" spans="1:11" x14ac:dyDescent="0.25">
      <c r="A12" s="21"/>
      <c r="B12" t="s">
        <v>284</v>
      </c>
      <c r="C12" s="22">
        <v>44</v>
      </c>
      <c r="D12" s="23">
        <v>67000</v>
      </c>
      <c r="E12" s="23">
        <f t="shared" si="0"/>
        <v>2948000</v>
      </c>
      <c r="F12" s="26">
        <v>45304</v>
      </c>
      <c r="G12" s="27">
        <v>7660000</v>
      </c>
    </row>
    <row r="13" spans="1:11" x14ac:dyDescent="0.25">
      <c r="A13" s="21">
        <v>45302</v>
      </c>
      <c r="B13" t="s">
        <v>289</v>
      </c>
      <c r="C13" s="22">
        <v>172</v>
      </c>
      <c r="D13" s="23">
        <v>60000</v>
      </c>
      <c r="E13" s="23">
        <f t="shared" si="0"/>
        <v>10320000</v>
      </c>
      <c r="F13" s="26">
        <v>45305</v>
      </c>
      <c r="G13" s="27">
        <v>8600000</v>
      </c>
    </row>
    <row r="14" spans="1:11" ht="15.75" thickBot="1" x14ac:dyDescent="0.3">
      <c r="A14" s="21"/>
      <c r="B14" t="s">
        <v>284</v>
      </c>
      <c r="C14" s="22">
        <v>40</v>
      </c>
      <c r="D14" s="23">
        <v>67000</v>
      </c>
      <c r="E14" s="23">
        <f t="shared" si="0"/>
        <v>2680000</v>
      </c>
      <c r="F14" s="26">
        <v>45307</v>
      </c>
      <c r="G14" s="27">
        <v>12762000</v>
      </c>
    </row>
    <row r="15" spans="1:11" x14ac:dyDescent="0.25">
      <c r="A15" s="21">
        <v>45303</v>
      </c>
      <c r="B15" t="s">
        <v>288</v>
      </c>
      <c r="C15" s="22">
        <v>150</v>
      </c>
      <c r="D15" s="23">
        <v>55000</v>
      </c>
      <c r="E15" s="23">
        <f t="shared" si="0"/>
        <v>8250000</v>
      </c>
      <c r="F15" s="26">
        <v>45308</v>
      </c>
      <c r="G15" s="27">
        <v>4150000</v>
      </c>
      <c r="I15" s="114"/>
      <c r="J15" s="115"/>
    </row>
    <row r="16" spans="1:11" ht="15.75" thickBot="1" x14ac:dyDescent="0.3">
      <c r="A16" s="21"/>
      <c r="B16" t="s">
        <v>290</v>
      </c>
      <c r="C16" s="22">
        <v>10</v>
      </c>
      <c r="D16" s="23">
        <v>72000</v>
      </c>
      <c r="E16" s="23">
        <f t="shared" si="0"/>
        <v>720000</v>
      </c>
      <c r="F16" s="26">
        <v>45309</v>
      </c>
      <c r="G16" s="27">
        <v>11830000</v>
      </c>
      <c r="I16" s="80"/>
      <c r="J16" s="81"/>
    </row>
    <row r="17" spans="1:8" x14ac:dyDescent="0.25">
      <c r="A17" s="21">
        <v>45304</v>
      </c>
      <c r="B17" t="s">
        <v>288</v>
      </c>
      <c r="C17" s="22">
        <v>48</v>
      </c>
      <c r="D17" s="23">
        <v>55000</v>
      </c>
      <c r="E17" s="23">
        <f t="shared" si="0"/>
        <v>2640000</v>
      </c>
      <c r="F17" s="26">
        <v>45310</v>
      </c>
      <c r="G17" s="27">
        <v>8250000</v>
      </c>
    </row>
    <row r="18" spans="1:8" x14ac:dyDescent="0.25">
      <c r="A18" s="21"/>
      <c r="B18" t="s">
        <v>289</v>
      </c>
      <c r="C18" s="22">
        <v>120</v>
      </c>
      <c r="D18" s="23">
        <v>60000</v>
      </c>
      <c r="E18" s="23">
        <f t="shared" si="0"/>
        <v>7200000</v>
      </c>
      <c r="F18" s="26">
        <v>45311</v>
      </c>
      <c r="G18" s="27">
        <v>6500000</v>
      </c>
    </row>
    <row r="19" spans="1:8" x14ac:dyDescent="0.25">
      <c r="A19" s="21">
        <v>45305</v>
      </c>
      <c r="B19" t="s">
        <v>289</v>
      </c>
      <c r="C19" s="22">
        <v>100</v>
      </c>
      <c r="D19" s="23">
        <v>60000</v>
      </c>
      <c r="E19" s="23">
        <f t="shared" si="0"/>
        <v>6000000</v>
      </c>
      <c r="F19" s="45">
        <v>45312</v>
      </c>
      <c r="G19" s="17">
        <v>11785000</v>
      </c>
    </row>
    <row r="20" spans="1:8" x14ac:dyDescent="0.25">
      <c r="A20" s="43"/>
      <c r="B20" t="s">
        <v>288</v>
      </c>
      <c r="C20" s="22">
        <v>52</v>
      </c>
      <c r="D20" s="20">
        <v>55000</v>
      </c>
      <c r="E20" s="96">
        <f t="shared" si="0"/>
        <v>2860000</v>
      </c>
      <c r="F20" s="26">
        <v>45314</v>
      </c>
      <c r="G20" s="27">
        <f>2400000+3480000</f>
        <v>5880000</v>
      </c>
    </row>
    <row r="21" spans="1:8" x14ac:dyDescent="0.25">
      <c r="A21" s="21"/>
      <c r="B21" t="s">
        <v>286</v>
      </c>
      <c r="C21" s="22">
        <v>38</v>
      </c>
      <c r="D21" s="23">
        <v>40000</v>
      </c>
      <c r="E21" s="23">
        <f t="shared" si="0"/>
        <v>1520000</v>
      </c>
      <c r="F21" s="26">
        <v>45315</v>
      </c>
      <c r="G21" s="27">
        <f>4900000+2160000</f>
        <v>7060000</v>
      </c>
    </row>
    <row r="22" spans="1:8" x14ac:dyDescent="0.25">
      <c r="A22" s="21">
        <v>45307</v>
      </c>
      <c r="B22" t="s">
        <v>291</v>
      </c>
      <c r="C22" s="22">
        <v>100</v>
      </c>
      <c r="D22" s="23">
        <v>44000</v>
      </c>
      <c r="E22" s="23">
        <f t="shared" si="0"/>
        <v>4400000</v>
      </c>
      <c r="F22" s="26">
        <v>45316</v>
      </c>
      <c r="G22" s="27">
        <v>2850000</v>
      </c>
    </row>
    <row r="23" spans="1:8" x14ac:dyDescent="0.25">
      <c r="A23" s="21"/>
      <c r="B23" t="s">
        <v>289</v>
      </c>
      <c r="C23" s="22">
        <v>92</v>
      </c>
      <c r="D23" s="23">
        <v>60000</v>
      </c>
      <c r="E23" s="23">
        <f t="shared" si="0"/>
        <v>5520000</v>
      </c>
      <c r="F23" s="26">
        <v>45317</v>
      </c>
      <c r="G23" s="27">
        <v>1300000</v>
      </c>
    </row>
    <row r="24" spans="1:8" x14ac:dyDescent="0.25">
      <c r="A24" s="21"/>
      <c r="B24" t="s">
        <v>290</v>
      </c>
      <c r="C24" s="22">
        <v>4</v>
      </c>
      <c r="D24" s="23">
        <v>72000</v>
      </c>
      <c r="E24" s="23">
        <f t="shared" si="0"/>
        <v>288000</v>
      </c>
      <c r="F24" s="26">
        <v>45318</v>
      </c>
      <c r="G24" s="27">
        <v>550000</v>
      </c>
    </row>
    <row r="25" spans="1:8" x14ac:dyDescent="0.25">
      <c r="A25" s="21">
        <v>45308</v>
      </c>
      <c r="B25" t="s">
        <v>291</v>
      </c>
      <c r="C25" s="22">
        <v>176</v>
      </c>
      <c r="D25" s="23">
        <v>44000</v>
      </c>
      <c r="E25" s="23">
        <f t="shared" si="0"/>
        <v>7744000</v>
      </c>
      <c r="F25" s="26">
        <v>45319</v>
      </c>
      <c r="G25" s="27">
        <v>3083000</v>
      </c>
    </row>
    <row r="26" spans="1:8" x14ac:dyDescent="0.25">
      <c r="A26" s="21"/>
      <c r="B26" t="s">
        <v>289</v>
      </c>
      <c r="C26" s="22">
        <v>36</v>
      </c>
      <c r="D26" s="23">
        <v>60000</v>
      </c>
      <c r="E26" s="23">
        <f t="shared" si="0"/>
        <v>2160000</v>
      </c>
      <c r="F26" s="26">
        <v>45319</v>
      </c>
      <c r="G26" s="27">
        <v>9416000</v>
      </c>
      <c r="H26" t="s">
        <v>270</v>
      </c>
    </row>
    <row r="27" spans="1:8" x14ac:dyDescent="0.25">
      <c r="A27" s="21">
        <v>45309</v>
      </c>
      <c r="B27" t="s">
        <v>288</v>
      </c>
      <c r="C27" s="22">
        <v>120</v>
      </c>
      <c r="D27" s="23">
        <v>55000</v>
      </c>
      <c r="E27" s="23">
        <f t="shared" si="0"/>
        <v>6600000</v>
      </c>
      <c r="F27" s="26">
        <v>45321</v>
      </c>
      <c r="G27" s="27">
        <v>6450000</v>
      </c>
    </row>
    <row r="28" spans="1:8" x14ac:dyDescent="0.25">
      <c r="A28" s="21">
        <v>45310</v>
      </c>
      <c r="B28" t="s">
        <v>244</v>
      </c>
      <c r="C28" s="22">
        <v>84</v>
      </c>
      <c r="D28" s="23">
        <v>60000</v>
      </c>
      <c r="E28" s="23">
        <f t="shared" si="0"/>
        <v>5040000</v>
      </c>
      <c r="F28" s="45">
        <v>45322</v>
      </c>
      <c r="G28" s="17">
        <v>5000000</v>
      </c>
    </row>
    <row r="29" spans="1:8" x14ac:dyDescent="0.25">
      <c r="A29" s="21">
        <v>45311</v>
      </c>
      <c r="B29" t="s">
        <v>292</v>
      </c>
      <c r="C29" s="22">
        <v>64</v>
      </c>
      <c r="D29" s="23">
        <v>50000</v>
      </c>
      <c r="E29" s="23">
        <f t="shared" si="0"/>
        <v>3200000</v>
      </c>
      <c r="F29" s="26">
        <v>45323</v>
      </c>
      <c r="G29" s="27">
        <v>1425000</v>
      </c>
    </row>
    <row r="30" spans="1:8" x14ac:dyDescent="0.25">
      <c r="A30" s="21"/>
      <c r="B30" t="s">
        <v>289</v>
      </c>
      <c r="C30" s="22">
        <v>168</v>
      </c>
      <c r="D30" s="23">
        <v>60000</v>
      </c>
      <c r="E30" s="23">
        <f t="shared" si="0"/>
        <v>10080000</v>
      </c>
      <c r="F30" s="26">
        <v>45324</v>
      </c>
      <c r="G30" s="27">
        <f>500000+745000</f>
        <v>1245000</v>
      </c>
    </row>
    <row r="31" spans="1:8" x14ac:dyDescent="0.25">
      <c r="A31" s="21">
        <v>45312</v>
      </c>
      <c r="B31" t="s">
        <v>244</v>
      </c>
      <c r="C31" s="22">
        <v>156</v>
      </c>
      <c r="D31" s="23">
        <v>60000</v>
      </c>
      <c r="E31" s="23">
        <f t="shared" si="0"/>
        <v>9360000</v>
      </c>
      <c r="F31" s="26">
        <v>45326</v>
      </c>
      <c r="G31" s="27">
        <v>1217000</v>
      </c>
    </row>
    <row r="32" spans="1:8" x14ac:dyDescent="0.25">
      <c r="A32" s="43">
        <v>45314</v>
      </c>
      <c r="B32" t="s">
        <v>244</v>
      </c>
      <c r="C32" s="22">
        <v>40</v>
      </c>
      <c r="D32" s="20">
        <v>60000</v>
      </c>
      <c r="E32" s="44">
        <f t="shared" si="0"/>
        <v>2400000</v>
      </c>
      <c r="F32" s="26">
        <v>45328</v>
      </c>
      <c r="G32" s="27">
        <v>1850000</v>
      </c>
    </row>
    <row r="33" spans="1:7" x14ac:dyDescent="0.25">
      <c r="A33" s="21">
        <v>45315</v>
      </c>
      <c r="B33" t="s">
        <v>244</v>
      </c>
      <c r="C33" s="22">
        <v>68</v>
      </c>
      <c r="D33" s="23">
        <v>60000</v>
      </c>
      <c r="E33" s="23">
        <f t="shared" si="0"/>
        <v>4080000</v>
      </c>
      <c r="F33" s="26">
        <v>45329</v>
      </c>
      <c r="G33" s="27">
        <v>110000</v>
      </c>
    </row>
    <row r="34" spans="1:7" x14ac:dyDescent="0.25">
      <c r="A34" s="21"/>
      <c r="B34" t="s">
        <v>292</v>
      </c>
      <c r="C34" s="22">
        <v>20</v>
      </c>
      <c r="D34" s="23">
        <v>50000</v>
      </c>
      <c r="E34" s="23">
        <f t="shared" si="0"/>
        <v>1000000</v>
      </c>
      <c r="F34" s="26">
        <v>45330</v>
      </c>
      <c r="G34" s="27">
        <v>3700000</v>
      </c>
    </row>
    <row r="35" spans="1:7" x14ac:dyDescent="0.25">
      <c r="A35" s="21"/>
      <c r="B35" t="s">
        <v>293</v>
      </c>
      <c r="C35" s="22">
        <v>70</v>
      </c>
      <c r="D35" s="23">
        <v>64000</v>
      </c>
      <c r="E35" s="23">
        <f t="shared" si="0"/>
        <v>4480000</v>
      </c>
      <c r="F35" s="26">
        <v>45331</v>
      </c>
      <c r="G35" s="27">
        <v>6300000</v>
      </c>
    </row>
    <row r="36" spans="1:7" x14ac:dyDescent="0.25">
      <c r="A36" s="21">
        <v>45316</v>
      </c>
      <c r="B36" t="s">
        <v>288</v>
      </c>
      <c r="C36" s="22">
        <v>98</v>
      </c>
      <c r="D36" s="23">
        <v>55000</v>
      </c>
      <c r="E36" s="23">
        <f t="shared" ref="E36:E67" si="1">C36*D36</f>
        <v>5390000</v>
      </c>
      <c r="F36" s="26">
        <v>45332</v>
      </c>
      <c r="G36" s="27">
        <v>2520000</v>
      </c>
    </row>
    <row r="37" spans="1:7" x14ac:dyDescent="0.25">
      <c r="A37" s="21"/>
      <c r="B37" t="s">
        <v>291</v>
      </c>
      <c r="C37" s="22">
        <v>96</v>
      </c>
      <c r="D37" s="23">
        <v>44000</v>
      </c>
      <c r="E37" s="23">
        <f t="shared" si="1"/>
        <v>4224000</v>
      </c>
      <c r="F37" s="26">
        <v>45333</v>
      </c>
      <c r="G37" s="27">
        <v>4710000</v>
      </c>
    </row>
    <row r="38" spans="1:7" x14ac:dyDescent="0.25">
      <c r="A38" s="21"/>
      <c r="B38" t="s">
        <v>294</v>
      </c>
      <c r="C38" s="22">
        <v>48</v>
      </c>
      <c r="D38" s="23">
        <v>40000</v>
      </c>
      <c r="E38" s="23">
        <f t="shared" si="1"/>
        <v>1920000</v>
      </c>
      <c r="F38" s="26">
        <v>45335</v>
      </c>
      <c r="G38" s="27">
        <v>7000000</v>
      </c>
    </row>
    <row r="39" spans="1:7" x14ac:dyDescent="0.25">
      <c r="A39" s="21">
        <v>45317</v>
      </c>
      <c r="B39" t="s">
        <v>292</v>
      </c>
      <c r="C39" s="22">
        <v>66</v>
      </c>
      <c r="D39" s="23">
        <v>50000</v>
      </c>
      <c r="E39" s="23">
        <f t="shared" si="1"/>
        <v>3300000</v>
      </c>
      <c r="F39" s="26">
        <v>45336</v>
      </c>
      <c r="G39" s="27">
        <v>10120000</v>
      </c>
    </row>
    <row r="40" spans="1:7" x14ac:dyDescent="0.25">
      <c r="A40" s="21">
        <v>45319</v>
      </c>
      <c r="B40" t="s">
        <v>292</v>
      </c>
      <c r="C40" s="22">
        <v>96</v>
      </c>
      <c r="D40" s="23">
        <v>50000</v>
      </c>
      <c r="E40" s="23">
        <f t="shared" si="1"/>
        <v>4800000</v>
      </c>
      <c r="F40" s="26">
        <v>45337</v>
      </c>
      <c r="G40" s="27">
        <v>17200000</v>
      </c>
    </row>
    <row r="41" spans="1:7" x14ac:dyDescent="0.25">
      <c r="A41" s="21"/>
      <c r="B41" t="s">
        <v>289</v>
      </c>
      <c r="C41" s="22">
        <v>144</v>
      </c>
      <c r="D41" s="23">
        <v>60000</v>
      </c>
      <c r="E41" s="23">
        <f t="shared" si="1"/>
        <v>8640000</v>
      </c>
      <c r="F41" s="45">
        <v>45338</v>
      </c>
      <c r="G41" s="17">
        <v>6450000</v>
      </c>
    </row>
    <row r="42" spans="1:7" x14ac:dyDescent="0.25">
      <c r="A42" s="21">
        <v>45321</v>
      </c>
      <c r="B42" t="s">
        <v>295</v>
      </c>
      <c r="C42" s="22">
        <v>56</v>
      </c>
      <c r="D42" s="23">
        <v>50000</v>
      </c>
      <c r="E42" s="23">
        <f t="shared" si="1"/>
        <v>2800000</v>
      </c>
      <c r="F42" s="26">
        <v>45339</v>
      </c>
      <c r="G42" s="27">
        <v>3000000</v>
      </c>
    </row>
    <row r="43" spans="1:7" x14ac:dyDescent="0.25">
      <c r="A43" s="21"/>
      <c r="B43" t="s">
        <v>293</v>
      </c>
      <c r="C43" s="22">
        <v>100</v>
      </c>
      <c r="D43" s="23">
        <v>64000</v>
      </c>
      <c r="E43" s="23">
        <f t="shared" si="1"/>
        <v>6400000</v>
      </c>
      <c r="F43" s="26">
        <v>45340</v>
      </c>
      <c r="G43" s="27">
        <v>4800000</v>
      </c>
    </row>
    <row r="44" spans="1:7" x14ac:dyDescent="0.25">
      <c r="A44" s="21">
        <v>45324</v>
      </c>
      <c r="B44" t="s">
        <v>289</v>
      </c>
      <c r="C44" s="22">
        <v>26</v>
      </c>
      <c r="D44" s="23">
        <v>60000</v>
      </c>
      <c r="E44" s="23">
        <f t="shared" si="1"/>
        <v>1560000</v>
      </c>
      <c r="F44" s="26">
        <v>45342</v>
      </c>
      <c r="G44" s="27">
        <v>5000000</v>
      </c>
    </row>
    <row r="45" spans="1:7" x14ac:dyDescent="0.25">
      <c r="A45" s="21"/>
      <c r="B45" t="s">
        <v>293</v>
      </c>
      <c r="C45" s="22">
        <v>6</v>
      </c>
      <c r="D45" s="23">
        <v>64000</v>
      </c>
      <c r="E45" s="23">
        <f t="shared" si="1"/>
        <v>384000</v>
      </c>
      <c r="F45" s="85">
        <v>45343</v>
      </c>
      <c r="G45" s="86">
        <v>2250000</v>
      </c>
    </row>
    <row r="46" spans="1:7" x14ac:dyDescent="0.25">
      <c r="A46" s="21">
        <v>45331</v>
      </c>
      <c r="B46" t="s">
        <v>250</v>
      </c>
      <c r="C46" s="22">
        <v>58</v>
      </c>
      <c r="D46" s="23">
        <v>40000</v>
      </c>
      <c r="E46" s="23">
        <f t="shared" si="1"/>
        <v>2320000</v>
      </c>
      <c r="F46" s="26">
        <v>45344</v>
      </c>
      <c r="G46" s="27">
        <v>7300000</v>
      </c>
    </row>
    <row r="47" spans="1:7" x14ac:dyDescent="0.25">
      <c r="A47" s="21"/>
      <c r="B47" t="s">
        <v>296</v>
      </c>
      <c r="C47" s="22">
        <v>20</v>
      </c>
      <c r="D47" s="23">
        <v>40000</v>
      </c>
      <c r="E47" s="23">
        <f t="shared" si="1"/>
        <v>800000</v>
      </c>
      <c r="F47" s="26">
        <v>45345</v>
      </c>
      <c r="G47" s="27">
        <v>5440000</v>
      </c>
    </row>
    <row r="48" spans="1:7" x14ac:dyDescent="0.25">
      <c r="A48" s="21"/>
      <c r="B48" t="s">
        <v>253</v>
      </c>
      <c r="C48" s="22">
        <v>18</v>
      </c>
      <c r="D48" s="23">
        <v>40000</v>
      </c>
      <c r="E48" s="23">
        <f t="shared" si="1"/>
        <v>720000</v>
      </c>
      <c r="F48" s="26">
        <v>45346</v>
      </c>
      <c r="G48" s="27">
        <v>550000</v>
      </c>
    </row>
    <row r="49" spans="1:7" x14ac:dyDescent="0.25">
      <c r="A49" s="21"/>
      <c r="B49" t="s">
        <v>298</v>
      </c>
      <c r="C49" s="22">
        <v>16</v>
      </c>
      <c r="D49" s="23">
        <v>50000</v>
      </c>
      <c r="E49" s="23">
        <f t="shared" si="1"/>
        <v>800000</v>
      </c>
      <c r="F49" s="45">
        <v>45347</v>
      </c>
      <c r="G49" s="17">
        <f>4650000+1650000+500000</f>
        <v>6800000</v>
      </c>
    </row>
    <row r="50" spans="1:7" x14ac:dyDescent="0.25">
      <c r="A50" s="21"/>
      <c r="B50" t="s">
        <v>299</v>
      </c>
      <c r="C50" s="22">
        <v>140</v>
      </c>
      <c r="D50" s="23">
        <v>60000</v>
      </c>
      <c r="E50" s="23">
        <f t="shared" si="1"/>
        <v>8400000</v>
      </c>
      <c r="F50" s="26">
        <v>45349</v>
      </c>
      <c r="G50" s="27">
        <v>6400000</v>
      </c>
    </row>
    <row r="51" spans="1:7" x14ac:dyDescent="0.25">
      <c r="A51" s="21">
        <v>45332</v>
      </c>
      <c r="B51" t="s">
        <v>297</v>
      </c>
      <c r="C51" s="22">
        <v>92</v>
      </c>
      <c r="D51" s="23">
        <v>60000</v>
      </c>
      <c r="E51" s="23">
        <f t="shared" si="1"/>
        <v>5520000</v>
      </c>
      <c r="F51" s="85">
        <v>45350</v>
      </c>
      <c r="G51" s="86">
        <v>4400000</v>
      </c>
    </row>
    <row r="52" spans="1:7" x14ac:dyDescent="0.25">
      <c r="A52" s="43">
        <v>45333</v>
      </c>
      <c r="B52" t="s">
        <v>298</v>
      </c>
      <c r="C52" s="22">
        <v>206</v>
      </c>
      <c r="D52" s="20">
        <v>50000</v>
      </c>
      <c r="E52" s="23">
        <f t="shared" si="1"/>
        <v>10300000</v>
      </c>
      <c r="F52" s="26">
        <v>45352</v>
      </c>
      <c r="G52" s="27">
        <v>2000000</v>
      </c>
    </row>
    <row r="53" spans="1:7" x14ac:dyDescent="0.25">
      <c r="A53" s="21">
        <v>45335</v>
      </c>
      <c r="B53" t="s">
        <v>300</v>
      </c>
      <c r="C53" s="22">
        <v>136</v>
      </c>
      <c r="D53" s="23">
        <v>45000</v>
      </c>
      <c r="E53" s="23">
        <f t="shared" si="1"/>
        <v>6120000</v>
      </c>
      <c r="F53" s="26">
        <v>45353</v>
      </c>
      <c r="G53" s="27">
        <v>4500000</v>
      </c>
    </row>
    <row r="54" spans="1:7" x14ac:dyDescent="0.25">
      <c r="A54" s="21">
        <v>45336</v>
      </c>
      <c r="B54" t="s">
        <v>298</v>
      </c>
      <c r="C54" s="22">
        <v>118</v>
      </c>
      <c r="D54" s="23">
        <v>50000</v>
      </c>
      <c r="E54" s="23">
        <f t="shared" si="1"/>
        <v>5900000</v>
      </c>
      <c r="F54" s="26">
        <v>45354</v>
      </c>
      <c r="G54" s="27">
        <v>350000</v>
      </c>
    </row>
    <row r="55" spans="1:7" x14ac:dyDescent="0.25">
      <c r="A55" s="21">
        <v>45337</v>
      </c>
      <c r="B55" t="s">
        <v>297</v>
      </c>
      <c r="C55" s="22">
        <v>104</v>
      </c>
      <c r="D55" s="23">
        <v>60000</v>
      </c>
      <c r="E55" s="23">
        <f t="shared" si="1"/>
        <v>6240000</v>
      </c>
      <c r="F55" s="26">
        <v>45356</v>
      </c>
      <c r="G55" s="27">
        <v>4000000</v>
      </c>
    </row>
    <row r="56" spans="1:7" x14ac:dyDescent="0.25">
      <c r="A56" s="21"/>
      <c r="B56" t="s">
        <v>301</v>
      </c>
      <c r="C56" s="22">
        <v>16</v>
      </c>
      <c r="D56" s="23">
        <v>48000</v>
      </c>
      <c r="E56" s="23">
        <f t="shared" si="1"/>
        <v>768000</v>
      </c>
      <c r="F56" s="26">
        <v>45357</v>
      </c>
      <c r="G56" s="27">
        <v>1550000</v>
      </c>
    </row>
    <row r="57" spans="1:7" x14ac:dyDescent="0.25">
      <c r="A57" s="21"/>
      <c r="B57" t="s">
        <v>300</v>
      </c>
      <c r="C57" s="22">
        <v>16</v>
      </c>
      <c r="D57" s="23">
        <v>45000</v>
      </c>
      <c r="E57" s="23">
        <f t="shared" si="1"/>
        <v>720000</v>
      </c>
      <c r="F57" s="94">
        <v>45358</v>
      </c>
      <c r="G57" s="95">
        <v>8750000</v>
      </c>
    </row>
    <row r="58" spans="1:7" x14ac:dyDescent="0.25">
      <c r="A58" s="21">
        <v>45338</v>
      </c>
      <c r="B58" t="s">
        <v>301</v>
      </c>
      <c r="C58" s="22">
        <v>184</v>
      </c>
      <c r="D58" s="23">
        <v>48000</v>
      </c>
      <c r="E58" s="23">
        <f t="shared" si="1"/>
        <v>8832000</v>
      </c>
      <c r="F58" s="26">
        <v>45359</v>
      </c>
      <c r="G58" s="27">
        <v>800000</v>
      </c>
    </row>
    <row r="59" spans="1:7" x14ac:dyDescent="0.25">
      <c r="A59" s="21">
        <v>45339</v>
      </c>
      <c r="B59" t="s">
        <v>297</v>
      </c>
      <c r="C59" s="22">
        <v>60</v>
      </c>
      <c r="D59" s="23">
        <v>60000</v>
      </c>
      <c r="E59" s="23">
        <f t="shared" si="1"/>
        <v>3600000</v>
      </c>
      <c r="F59" s="26">
        <v>45360</v>
      </c>
      <c r="G59" s="27">
        <v>3500000</v>
      </c>
    </row>
    <row r="60" spans="1:7" x14ac:dyDescent="0.25">
      <c r="A60" s="21"/>
      <c r="B60" t="s">
        <v>298</v>
      </c>
      <c r="C60" s="22">
        <v>164</v>
      </c>
      <c r="D60" s="23">
        <v>48000</v>
      </c>
      <c r="E60" s="23">
        <f t="shared" si="1"/>
        <v>7872000</v>
      </c>
      <c r="F60" s="26">
        <v>45332</v>
      </c>
      <c r="G60" s="27">
        <v>430000</v>
      </c>
    </row>
    <row r="61" spans="1:7" x14ac:dyDescent="0.25">
      <c r="A61" s="21">
        <v>45340</v>
      </c>
      <c r="B61" t="s">
        <v>304</v>
      </c>
      <c r="C61" s="22">
        <v>84</v>
      </c>
      <c r="D61" s="23">
        <v>58000</v>
      </c>
      <c r="E61" s="23">
        <f t="shared" si="1"/>
        <v>4872000</v>
      </c>
      <c r="F61" s="26">
        <v>45363</v>
      </c>
      <c r="G61" s="27">
        <v>1300000</v>
      </c>
    </row>
    <row r="62" spans="1:7" x14ac:dyDescent="0.25">
      <c r="A62" s="21"/>
      <c r="B62" t="s">
        <v>297</v>
      </c>
      <c r="C62" s="22">
        <v>40</v>
      </c>
      <c r="D62" s="23">
        <v>60000</v>
      </c>
      <c r="E62" s="23">
        <f t="shared" si="1"/>
        <v>2400000</v>
      </c>
      <c r="F62" s="26">
        <v>45365</v>
      </c>
      <c r="G62" s="27">
        <v>1650000</v>
      </c>
    </row>
    <row r="63" spans="1:7" x14ac:dyDescent="0.25">
      <c r="A63" s="21">
        <v>45342</v>
      </c>
      <c r="B63" t="s">
        <v>298</v>
      </c>
      <c r="C63" s="22">
        <v>180</v>
      </c>
      <c r="D63" s="23">
        <v>48000</v>
      </c>
      <c r="E63" s="23">
        <f t="shared" si="1"/>
        <v>8640000</v>
      </c>
      <c r="F63" s="85">
        <v>45366</v>
      </c>
      <c r="G63" s="86">
        <v>1200000</v>
      </c>
    </row>
    <row r="64" spans="1:7" x14ac:dyDescent="0.25">
      <c r="A64" s="43">
        <v>45346</v>
      </c>
      <c r="B64" t="s">
        <v>304</v>
      </c>
      <c r="C64" s="22">
        <v>172</v>
      </c>
      <c r="D64" s="20">
        <v>58000</v>
      </c>
      <c r="E64" s="67">
        <f t="shared" si="1"/>
        <v>9976000</v>
      </c>
      <c r="F64" s="45">
        <v>45368</v>
      </c>
      <c r="G64" s="17">
        <v>1500000</v>
      </c>
    </row>
    <row r="65" spans="1:7" x14ac:dyDescent="0.25">
      <c r="A65" s="21">
        <v>45347</v>
      </c>
      <c r="B65" t="s">
        <v>305</v>
      </c>
      <c r="C65" s="22">
        <v>108</v>
      </c>
      <c r="D65" s="23">
        <v>58000</v>
      </c>
      <c r="E65" s="23">
        <f t="shared" si="1"/>
        <v>6264000</v>
      </c>
      <c r="F65" s="26">
        <v>45370</v>
      </c>
      <c r="G65" s="27">
        <v>5000000</v>
      </c>
    </row>
    <row r="66" spans="1:7" x14ac:dyDescent="0.25">
      <c r="A66" s="21">
        <v>45349</v>
      </c>
      <c r="B66" t="s">
        <v>305</v>
      </c>
      <c r="C66" s="22">
        <v>44</v>
      </c>
      <c r="D66" s="23">
        <v>58000</v>
      </c>
      <c r="E66" s="23">
        <f t="shared" si="1"/>
        <v>2552000</v>
      </c>
      <c r="F66" s="26">
        <v>45371</v>
      </c>
      <c r="G66" s="27">
        <v>5830000</v>
      </c>
    </row>
    <row r="67" spans="1:7" x14ac:dyDescent="0.25">
      <c r="A67" s="43">
        <v>45350</v>
      </c>
      <c r="B67" t="s">
        <v>305</v>
      </c>
      <c r="C67" s="22">
        <v>56</v>
      </c>
      <c r="D67" s="20">
        <v>58000</v>
      </c>
      <c r="E67" s="20">
        <f t="shared" si="1"/>
        <v>3248000</v>
      </c>
      <c r="F67" s="26">
        <v>45372</v>
      </c>
      <c r="G67" s="27">
        <v>3600000</v>
      </c>
    </row>
    <row r="68" spans="1:7" x14ac:dyDescent="0.25">
      <c r="A68" s="21">
        <v>45351</v>
      </c>
      <c r="B68" t="s">
        <v>304</v>
      </c>
      <c r="C68" s="22">
        <v>120</v>
      </c>
      <c r="D68" s="23">
        <v>58000</v>
      </c>
      <c r="E68" s="23">
        <f t="shared" ref="E68:E99" si="2">C68*D68</f>
        <v>6960000</v>
      </c>
      <c r="F68" s="26">
        <v>45373</v>
      </c>
      <c r="G68" s="27">
        <v>1850000</v>
      </c>
    </row>
    <row r="69" spans="1:7" x14ac:dyDescent="0.25">
      <c r="A69" s="21">
        <v>45352</v>
      </c>
      <c r="B69" t="s">
        <v>305</v>
      </c>
      <c r="C69" s="22">
        <v>76</v>
      </c>
      <c r="D69" s="23">
        <v>58000</v>
      </c>
      <c r="E69" s="23">
        <f t="shared" si="2"/>
        <v>4408000</v>
      </c>
      <c r="F69" s="26">
        <v>45374</v>
      </c>
      <c r="G69" s="27">
        <v>9700000</v>
      </c>
    </row>
    <row r="70" spans="1:7" x14ac:dyDescent="0.25">
      <c r="A70" s="21">
        <v>45358</v>
      </c>
      <c r="B70" t="s">
        <v>305</v>
      </c>
      <c r="C70" s="22">
        <v>78</v>
      </c>
      <c r="D70" s="23">
        <v>58000</v>
      </c>
      <c r="E70" s="23">
        <f t="shared" si="2"/>
        <v>4524000</v>
      </c>
      <c r="F70" s="26">
        <v>45375</v>
      </c>
      <c r="G70" s="27">
        <v>14092000</v>
      </c>
    </row>
    <row r="71" spans="1:7" x14ac:dyDescent="0.25">
      <c r="A71" s="21">
        <v>45359</v>
      </c>
      <c r="B71" t="s">
        <v>305</v>
      </c>
      <c r="C71" s="22">
        <v>38</v>
      </c>
      <c r="D71" s="23">
        <v>58000</v>
      </c>
      <c r="E71" s="23">
        <f t="shared" si="2"/>
        <v>2204000</v>
      </c>
      <c r="F71" s="26">
        <v>45377</v>
      </c>
      <c r="G71" s="27">
        <v>11700000</v>
      </c>
    </row>
    <row r="72" spans="1:7" x14ac:dyDescent="0.25">
      <c r="A72" s="82"/>
      <c r="B72" s="50" t="s">
        <v>298</v>
      </c>
      <c r="C72" s="83">
        <v>132</v>
      </c>
      <c r="D72" s="84">
        <v>48000</v>
      </c>
      <c r="E72" s="84">
        <f t="shared" si="2"/>
        <v>6336000</v>
      </c>
      <c r="F72" s="45">
        <v>45378</v>
      </c>
      <c r="G72" s="17">
        <v>10000000</v>
      </c>
    </row>
    <row r="73" spans="1:7" x14ac:dyDescent="0.25">
      <c r="A73" s="21">
        <v>45370</v>
      </c>
      <c r="B73" t="s">
        <v>306</v>
      </c>
      <c r="C73" s="22">
        <v>90</v>
      </c>
      <c r="D73" s="23">
        <v>42000</v>
      </c>
      <c r="E73" s="23">
        <f t="shared" si="2"/>
        <v>3780000</v>
      </c>
      <c r="F73" s="26">
        <v>45379</v>
      </c>
      <c r="G73" s="27">
        <v>6000000</v>
      </c>
    </row>
    <row r="74" spans="1:7" x14ac:dyDescent="0.25">
      <c r="A74" s="43"/>
      <c r="B74" t="s">
        <v>307</v>
      </c>
      <c r="C74" s="22">
        <v>42</v>
      </c>
      <c r="D74" s="20">
        <v>55000</v>
      </c>
      <c r="E74" s="20">
        <f t="shared" si="2"/>
        <v>2310000</v>
      </c>
      <c r="F74" s="26">
        <v>45380</v>
      </c>
      <c r="G74" s="27">
        <v>6100000</v>
      </c>
    </row>
    <row r="75" spans="1:7" x14ac:dyDescent="0.25">
      <c r="A75" s="21">
        <v>45371</v>
      </c>
      <c r="B75" t="s">
        <v>307</v>
      </c>
      <c r="C75" s="22">
        <v>58</v>
      </c>
      <c r="D75" s="23">
        <v>55000</v>
      </c>
      <c r="E75" s="23">
        <f t="shared" si="2"/>
        <v>3190000</v>
      </c>
      <c r="F75" s="26">
        <v>45381</v>
      </c>
      <c r="G75" s="27">
        <v>17300000</v>
      </c>
    </row>
    <row r="76" spans="1:7" x14ac:dyDescent="0.25">
      <c r="A76" s="21">
        <v>45372</v>
      </c>
      <c r="B76" t="s">
        <v>307</v>
      </c>
      <c r="C76" s="22">
        <v>120</v>
      </c>
      <c r="D76" s="23">
        <v>55000</v>
      </c>
      <c r="E76" s="23">
        <f t="shared" si="2"/>
        <v>6600000</v>
      </c>
      <c r="F76" s="26">
        <v>45382</v>
      </c>
      <c r="G76" s="27">
        <v>1950000</v>
      </c>
    </row>
    <row r="77" spans="1:7" x14ac:dyDescent="0.25">
      <c r="A77" s="21"/>
      <c r="B77" t="s">
        <v>308</v>
      </c>
      <c r="C77" s="22">
        <v>100</v>
      </c>
      <c r="D77" s="23">
        <v>39000</v>
      </c>
      <c r="E77" s="23">
        <f t="shared" si="2"/>
        <v>3900000</v>
      </c>
      <c r="F77" s="26">
        <v>45384</v>
      </c>
      <c r="G77" s="27">
        <v>13000000</v>
      </c>
    </row>
    <row r="78" spans="1:7" x14ac:dyDescent="0.25">
      <c r="A78" s="21">
        <v>45373</v>
      </c>
      <c r="B78" t="s">
        <v>307</v>
      </c>
      <c r="C78" s="22">
        <v>154</v>
      </c>
      <c r="D78" s="23">
        <v>55000</v>
      </c>
      <c r="E78" s="23">
        <f t="shared" si="2"/>
        <v>8470000</v>
      </c>
      <c r="F78" s="26">
        <v>45385</v>
      </c>
      <c r="G78" s="27">
        <v>15850000</v>
      </c>
    </row>
    <row r="79" spans="1:7" x14ac:dyDescent="0.25">
      <c r="A79" s="43">
        <v>45374</v>
      </c>
      <c r="B79" t="s">
        <v>307</v>
      </c>
      <c r="C79" s="22">
        <v>124</v>
      </c>
      <c r="D79" s="20">
        <v>55000</v>
      </c>
      <c r="E79" s="20">
        <f t="shared" si="2"/>
        <v>6820000</v>
      </c>
      <c r="F79" s="26">
        <v>45386</v>
      </c>
      <c r="G79" s="27">
        <v>16200000</v>
      </c>
    </row>
    <row r="80" spans="1:7" x14ac:dyDescent="0.25">
      <c r="A80" s="21">
        <v>45375</v>
      </c>
      <c r="B80" t="s">
        <v>307</v>
      </c>
      <c r="C80" s="22">
        <v>104</v>
      </c>
      <c r="D80" s="23">
        <v>55000</v>
      </c>
      <c r="E80" s="23">
        <f t="shared" si="2"/>
        <v>5720000</v>
      </c>
      <c r="F80" s="45">
        <v>45387</v>
      </c>
      <c r="G80" s="17">
        <v>4000000</v>
      </c>
    </row>
    <row r="81" spans="1:8" x14ac:dyDescent="0.25">
      <c r="A81" s="21"/>
      <c r="B81" t="s">
        <v>308</v>
      </c>
      <c r="C81" s="22">
        <v>48</v>
      </c>
      <c r="D81" s="23">
        <v>39000</v>
      </c>
      <c r="E81" s="23">
        <f t="shared" si="2"/>
        <v>1872000</v>
      </c>
      <c r="F81" s="26">
        <v>45388</v>
      </c>
      <c r="G81" s="17">
        <v>5800000</v>
      </c>
    </row>
    <row r="82" spans="1:8" x14ac:dyDescent="0.25">
      <c r="A82" s="21">
        <v>45377</v>
      </c>
      <c r="B82" t="s">
        <v>308</v>
      </c>
      <c r="C82" s="22">
        <v>144</v>
      </c>
      <c r="D82" s="23">
        <v>39000</v>
      </c>
      <c r="E82" s="23">
        <f t="shared" si="2"/>
        <v>5616000</v>
      </c>
      <c r="F82" s="26">
        <v>45389</v>
      </c>
      <c r="G82" s="17">
        <v>22656000</v>
      </c>
    </row>
    <row r="83" spans="1:8" x14ac:dyDescent="0.25">
      <c r="A83" s="21"/>
      <c r="B83" t="s">
        <v>307</v>
      </c>
      <c r="C83" s="22">
        <v>102</v>
      </c>
      <c r="D83" s="23">
        <v>55000</v>
      </c>
      <c r="E83" s="23">
        <f t="shared" si="2"/>
        <v>5610000</v>
      </c>
      <c r="F83" s="45">
        <v>45391</v>
      </c>
      <c r="G83" s="17">
        <v>15000000</v>
      </c>
    </row>
    <row r="84" spans="1:8" x14ac:dyDescent="0.25">
      <c r="A84" s="21">
        <v>45378</v>
      </c>
      <c r="B84" t="s">
        <v>307</v>
      </c>
      <c r="C84" s="22">
        <v>134</v>
      </c>
      <c r="D84" s="23">
        <v>55000</v>
      </c>
      <c r="E84" s="23">
        <f t="shared" si="2"/>
        <v>7370000</v>
      </c>
      <c r="F84" s="45">
        <v>45395</v>
      </c>
      <c r="G84" s="17">
        <v>8100000</v>
      </c>
    </row>
    <row r="85" spans="1:8" x14ac:dyDescent="0.25">
      <c r="A85" s="21">
        <v>45379</v>
      </c>
      <c r="B85" t="s">
        <v>310</v>
      </c>
      <c r="C85" s="22">
        <v>128</v>
      </c>
      <c r="D85" s="23">
        <v>48000</v>
      </c>
      <c r="E85" s="23">
        <f t="shared" si="2"/>
        <v>6144000</v>
      </c>
      <c r="F85" s="45">
        <v>45396</v>
      </c>
      <c r="G85" s="17">
        <v>29058000</v>
      </c>
      <c r="H85" t="s">
        <v>314</v>
      </c>
    </row>
    <row r="86" spans="1:8" x14ac:dyDescent="0.25">
      <c r="A86" s="21"/>
      <c r="B86" t="s">
        <v>311</v>
      </c>
      <c r="C86" s="22">
        <v>50</v>
      </c>
      <c r="D86" s="23">
        <v>45000</v>
      </c>
      <c r="E86" s="23">
        <f t="shared" si="2"/>
        <v>2250000</v>
      </c>
      <c r="F86" s="45">
        <v>45396</v>
      </c>
      <c r="G86" s="17">
        <v>7365000</v>
      </c>
    </row>
    <row r="87" spans="1:8" x14ac:dyDescent="0.25">
      <c r="A87" s="21">
        <v>45380</v>
      </c>
      <c r="B87" t="s">
        <v>307</v>
      </c>
      <c r="C87" s="22">
        <v>180</v>
      </c>
      <c r="D87" s="23">
        <v>55000</v>
      </c>
      <c r="E87" s="23">
        <f t="shared" si="2"/>
        <v>9900000</v>
      </c>
      <c r="F87" s="45">
        <v>45398</v>
      </c>
      <c r="G87" s="17">
        <f>135000+17450000</f>
        <v>17585000</v>
      </c>
    </row>
    <row r="88" spans="1:8" x14ac:dyDescent="0.25">
      <c r="A88" s="21">
        <v>45381</v>
      </c>
      <c r="B88" t="s">
        <v>307</v>
      </c>
      <c r="C88" s="22">
        <v>134</v>
      </c>
      <c r="D88" s="23">
        <v>55000</v>
      </c>
      <c r="E88" s="23">
        <f t="shared" si="2"/>
        <v>7370000</v>
      </c>
      <c r="F88" s="45">
        <v>45399</v>
      </c>
      <c r="G88" s="17">
        <f>1425000+16900000</f>
        <v>18325000</v>
      </c>
    </row>
    <row r="89" spans="1:8" x14ac:dyDescent="0.25">
      <c r="A89" s="21"/>
      <c r="B89" t="s">
        <v>308</v>
      </c>
      <c r="C89" s="22">
        <v>60</v>
      </c>
      <c r="D89" s="23">
        <v>39000</v>
      </c>
      <c r="E89" s="23">
        <f t="shared" si="2"/>
        <v>2340000</v>
      </c>
      <c r="F89" s="45">
        <v>45400</v>
      </c>
      <c r="G89" s="17">
        <f>16350000+2350000</f>
        <v>18700000</v>
      </c>
    </row>
    <row r="90" spans="1:8" x14ac:dyDescent="0.25">
      <c r="A90" s="43"/>
      <c r="B90" s="1" t="s">
        <v>312</v>
      </c>
      <c r="C90" s="98">
        <v>60</v>
      </c>
      <c r="D90" s="67">
        <v>52000</v>
      </c>
      <c r="E90" s="67">
        <f t="shared" si="2"/>
        <v>3120000</v>
      </c>
      <c r="F90" s="45">
        <v>45401</v>
      </c>
      <c r="G90" s="17">
        <v>14850000</v>
      </c>
    </row>
    <row r="91" spans="1:8" x14ac:dyDescent="0.25">
      <c r="A91" s="21">
        <v>45382</v>
      </c>
      <c r="B91" s="1" t="s">
        <v>312</v>
      </c>
      <c r="C91" s="96">
        <v>48</v>
      </c>
      <c r="D91" s="67">
        <v>52000</v>
      </c>
      <c r="E91" s="67">
        <f t="shared" si="2"/>
        <v>2496000</v>
      </c>
      <c r="F91" s="45">
        <v>45402</v>
      </c>
      <c r="G91" s="17">
        <v>565000</v>
      </c>
    </row>
    <row r="92" spans="1:8" x14ac:dyDescent="0.25">
      <c r="A92" s="21"/>
      <c r="B92" s="1" t="s">
        <v>308</v>
      </c>
      <c r="C92" s="96">
        <v>108</v>
      </c>
      <c r="D92" s="67">
        <v>39000</v>
      </c>
      <c r="E92" s="67">
        <f t="shared" si="2"/>
        <v>4212000</v>
      </c>
      <c r="F92" s="45">
        <v>45403</v>
      </c>
      <c r="G92" s="17">
        <v>14892000</v>
      </c>
    </row>
    <row r="93" spans="1:8" x14ac:dyDescent="0.25">
      <c r="A93" s="21">
        <v>45384</v>
      </c>
      <c r="B93" s="1" t="s">
        <v>307</v>
      </c>
      <c r="C93" s="96">
        <v>234</v>
      </c>
      <c r="D93" s="67">
        <v>55000</v>
      </c>
      <c r="E93" s="67">
        <f t="shared" si="2"/>
        <v>12870000</v>
      </c>
      <c r="F93" s="45">
        <v>45405</v>
      </c>
      <c r="G93" s="17">
        <v>14700000</v>
      </c>
    </row>
    <row r="94" spans="1:8" x14ac:dyDescent="0.25">
      <c r="A94" s="21">
        <v>45385</v>
      </c>
      <c r="B94" s="1" t="s">
        <v>312</v>
      </c>
      <c r="C94" s="96">
        <v>90</v>
      </c>
      <c r="D94" s="67">
        <v>52000</v>
      </c>
      <c r="E94" s="67">
        <f t="shared" si="2"/>
        <v>4680000</v>
      </c>
      <c r="F94" s="45">
        <v>45406</v>
      </c>
      <c r="G94" s="17">
        <v>13950000</v>
      </c>
    </row>
    <row r="95" spans="1:8" x14ac:dyDescent="0.25">
      <c r="A95" s="21"/>
      <c r="B95" s="1" t="s">
        <v>307</v>
      </c>
      <c r="C95" s="96">
        <v>134</v>
      </c>
      <c r="D95" s="67">
        <v>55000</v>
      </c>
      <c r="E95" s="67">
        <f t="shared" si="2"/>
        <v>7370000</v>
      </c>
      <c r="F95" s="45">
        <v>45407</v>
      </c>
      <c r="G95" s="17">
        <v>9000000</v>
      </c>
    </row>
    <row r="96" spans="1:8" x14ac:dyDescent="0.25">
      <c r="A96" s="21"/>
      <c r="B96" s="1" t="s">
        <v>311</v>
      </c>
      <c r="C96" s="96">
        <v>62</v>
      </c>
      <c r="D96" s="67">
        <v>45000</v>
      </c>
      <c r="E96" s="67">
        <f t="shared" si="2"/>
        <v>2790000</v>
      </c>
      <c r="F96" s="45">
        <v>45408</v>
      </c>
      <c r="G96" s="17">
        <v>12570000</v>
      </c>
    </row>
    <row r="97" spans="1:7" x14ac:dyDescent="0.25">
      <c r="A97" s="21">
        <v>45386</v>
      </c>
      <c r="B97" s="1" t="s">
        <v>309</v>
      </c>
      <c r="C97" s="96">
        <v>192</v>
      </c>
      <c r="D97" s="67">
        <v>47000</v>
      </c>
      <c r="E97" s="67">
        <f t="shared" si="2"/>
        <v>9024000</v>
      </c>
      <c r="F97" s="45">
        <v>45409</v>
      </c>
      <c r="G97" s="17">
        <v>15370000</v>
      </c>
    </row>
    <row r="98" spans="1:7" x14ac:dyDescent="0.25">
      <c r="A98" s="21"/>
      <c r="B98" s="1" t="s">
        <v>311</v>
      </c>
      <c r="C98" s="96">
        <v>22</v>
      </c>
      <c r="D98" s="67">
        <v>45000</v>
      </c>
      <c r="E98" s="67">
        <f t="shared" si="2"/>
        <v>990000</v>
      </c>
      <c r="F98" s="45">
        <v>45410</v>
      </c>
      <c r="G98" s="17">
        <v>18781000</v>
      </c>
    </row>
    <row r="99" spans="1:7" x14ac:dyDescent="0.25">
      <c r="A99" s="21">
        <v>45387</v>
      </c>
      <c r="B99" s="1" t="s">
        <v>307</v>
      </c>
      <c r="C99" s="96">
        <v>156</v>
      </c>
      <c r="D99" s="67">
        <v>55000</v>
      </c>
      <c r="E99" s="67">
        <f t="shared" si="2"/>
        <v>8580000</v>
      </c>
      <c r="F99" s="45">
        <v>45412</v>
      </c>
      <c r="G99" s="17">
        <v>14360000</v>
      </c>
    </row>
    <row r="100" spans="1:7" x14ac:dyDescent="0.25">
      <c r="A100" s="21">
        <v>45388</v>
      </c>
      <c r="B100" t="s">
        <v>307</v>
      </c>
      <c r="C100" s="22">
        <v>160</v>
      </c>
      <c r="D100" s="23">
        <v>55000</v>
      </c>
      <c r="E100" s="23">
        <f t="shared" ref="E100:E131" si="3">C100*D100</f>
        <v>8800000</v>
      </c>
      <c r="F100" s="45"/>
      <c r="G100" s="17"/>
    </row>
    <row r="101" spans="1:7" x14ac:dyDescent="0.25">
      <c r="A101" s="21">
        <v>45389</v>
      </c>
      <c r="B101" t="s">
        <v>309</v>
      </c>
      <c r="C101" s="22">
        <v>258</v>
      </c>
      <c r="D101" s="23">
        <v>47000</v>
      </c>
      <c r="E101" s="23">
        <f t="shared" si="3"/>
        <v>12126000</v>
      </c>
      <c r="F101" s="45"/>
      <c r="G101" s="17"/>
    </row>
    <row r="102" spans="1:7" x14ac:dyDescent="0.25">
      <c r="A102" s="21"/>
      <c r="B102" t="s">
        <v>307</v>
      </c>
      <c r="C102" s="22">
        <v>34</v>
      </c>
      <c r="D102" s="23">
        <v>55000</v>
      </c>
      <c r="E102" s="23">
        <f t="shared" si="3"/>
        <v>1870000</v>
      </c>
      <c r="F102" s="45"/>
      <c r="G102" s="17"/>
    </row>
    <row r="103" spans="1:7" x14ac:dyDescent="0.25">
      <c r="A103" s="43">
        <v>45391</v>
      </c>
      <c r="B103" t="s">
        <v>309</v>
      </c>
      <c r="C103" s="22">
        <v>120</v>
      </c>
      <c r="D103" s="20">
        <v>47000</v>
      </c>
      <c r="E103" s="20">
        <f t="shared" si="3"/>
        <v>5640000</v>
      </c>
      <c r="F103" s="45"/>
      <c r="G103" s="17"/>
    </row>
    <row r="104" spans="1:7" x14ac:dyDescent="0.25">
      <c r="A104" s="21"/>
      <c r="B104" t="s">
        <v>307</v>
      </c>
      <c r="C104" s="22">
        <v>162</v>
      </c>
      <c r="D104" s="23">
        <v>55000</v>
      </c>
      <c r="E104" s="23">
        <f t="shared" si="3"/>
        <v>8910000</v>
      </c>
      <c r="F104" s="45"/>
      <c r="G104" s="17"/>
    </row>
    <row r="105" spans="1:7" x14ac:dyDescent="0.25">
      <c r="A105" s="21">
        <v>45395</v>
      </c>
      <c r="B105" t="s">
        <v>309</v>
      </c>
      <c r="C105" s="22">
        <v>206</v>
      </c>
      <c r="D105" s="23">
        <v>47000</v>
      </c>
      <c r="E105" s="23">
        <f t="shared" si="3"/>
        <v>9682000</v>
      </c>
      <c r="F105" s="45"/>
      <c r="G105" s="17"/>
    </row>
    <row r="106" spans="1:7" x14ac:dyDescent="0.25">
      <c r="A106" s="21">
        <v>45396</v>
      </c>
      <c r="B106" t="s">
        <v>313</v>
      </c>
      <c r="C106" s="22">
        <v>134</v>
      </c>
      <c r="D106" s="23">
        <v>56000</v>
      </c>
      <c r="E106" s="23">
        <f t="shared" si="3"/>
        <v>7504000</v>
      </c>
      <c r="G106" s="17"/>
    </row>
    <row r="107" spans="1:7" x14ac:dyDescent="0.25">
      <c r="A107" s="21">
        <v>45398</v>
      </c>
      <c r="B107" t="s">
        <v>309</v>
      </c>
      <c r="C107" s="22">
        <v>244</v>
      </c>
      <c r="D107" s="23">
        <v>47000</v>
      </c>
      <c r="E107" s="23">
        <f t="shared" si="3"/>
        <v>11468000</v>
      </c>
    </row>
    <row r="108" spans="1:7" x14ac:dyDescent="0.25">
      <c r="A108" s="21"/>
      <c r="B108" t="s">
        <v>313</v>
      </c>
      <c r="C108" s="22">
        <v>134</v>
      </c>
      <c r="D108" s="23">
        <v>56000</v>
      </c>
      <c r="E108" s="23">
        <f t="shared" si="3"/>
        <v>7504000</v>
      </c>
    </row>
    <row r="109" spans="1:7" x14ac:dyDescent="0.25">
      <c r="A109" s="21">
        <v>45399</v>
      </c>
      <c r="B109" t="s">
        <v>313</v>
      </c>
      <c r="C109" s="22">
        <v>206</v>
      </c>
      <c r="D109" s="23">
        <v>56000</v>
      </c>
      <c r="E109" s="23">
        <f t="shared" si="3"/>
        <v>11536000</v>
      </c>
    </row>
    <row r="110" spans="1:7" x14ac:dyDescent="0.25">
      <c r="A110" s="21"/>
      <c r="B110" t="s">
        <v>309</v>
      </c>
      <c r="C110" s="22">
        <v>144</v>
      </c>
      <c r="D110" s="23">
        <v>47000</v>
      </c>
      <c r="E110" s="23">
        <f t="shared" si="3"/>
        <v>6768000</v>
      </c>
    </row>
    <row r="111" spans="1:7" x14ac:dyDescent="0.25">
      <c r="A111" s="21">
        <v>45400</v>
      </c>
      <c r="B111" t="s">
        <v>309</v>
      </c>
      <c r="C111" s="22">
        <v>152</v>
      </c>
      <c r="D111" s="23">
        <v>47000</v>
      </c>
      <c r="E111" s="23">
        <f t="shared" si="3"/>
        <v>7144000</v>
      </c>
    </row>
    <row r="112" spans="1:7" x14ac:dyDescent="0.25">
      <c r="A112" s="21"/>
      <c r="B112" t="s">
        <v>313</v>
      </c>
      <c r="C112" s="22">
        <v>108</v>
      </c>
      <c r="D112" s="23">
        <v>56000</v>
      </c>
      <c r="E112" s="23">
        <f t="shared" si="3"/>
        <v>6048000</v>
      </c>
    </row>
    <row r="113" spans="1:7" x14ac:dyDescent="0.25">
      <c r="A113" s="21"/>
      <c r="B113" t="s">
        <v>316</v>
      </c>
      <c r="C113" s="22">
        <v>92</v>
      </c>
      <c r="D113" s="23">
        <v>40000</v>
      </c>
      <c r="E113" s="23">
        <f t="shared" si="3"/>
        <v>3680000</v>
      </c>
    </row>
    <row r="114" spans="1:7" x14ac:dyDescent="0.25">
      <c r="A114" s="21"/>
      <c r="B114" t="s">
        <v>311</v>
      </c>
      <c r="C114" s="22">
        <v>4</v>
      </c>
      <c r="D114" s="23">
        <v>45000</v>
      </c>
      <c r="E114" s="23">
        <f t="shared" si="3"/>
        <v>180000</v>
      </c>
    </row>
    <row r="115" spans="1:7" x14ac:dyDescent="0.25">
      <c r="A115" s="21">
        <v>45401</v>
      </c>
      <c r="B115" t="s">
        <v>309</v>
      </c>
      <c r="C115" s="22">
        <v>176</v>
      </c>
      <c r="D115" s="23">
        <v>47000</v>
      </c>
      <c r="E115" s="23">
        <f t="shared" si="3"/>
        <v>8272000</v>
      </c>
    </row>
    <row r="116" spans="1:7" x14ac:dyDescent="0.25">
      <c r="A116" s="21"/>
      <c r="B116" t="s">
        <v>313</v>
      </c>
      <c r="C116" s="22">
        <v>208</v>
      </c>
      <c r="D116" s="23">
        <v>56000</v>
      </c>
      <c r="E116" s="23">
        <f t="shared" si="3"/>
        <v>11648000</v>
      </c>
    </row>
    <row r="117" spans="1:7" x14ac:dyDescent="0.25">
      <c r="A117" s="43">
        <v>45402</v>
      </c>
      <c r="B117" t="s">
        <v>313</v>
      </c>
      <c r="C117" s="22">
        <v>90</v>
      </c>
      <c r="D117" s="20">
        <v>56000</v>
      </c>
      <c r="E117" s="20">
        <f t="shared" si="3"/>
        <v>5040000</v>
      </c>
    </row>
    <row r="118" spans="1:7" x14ac:dyDescent="0.25">
      <c r="A118" s="43"/>
      <c r="B118" t="s">
        <v>309</v>
      </c>
      <c r="C118" s="22">
        <v>136</v>
      </c>
      <c r="D118" s="20">
        <v>47000</v>
      </c>
      <c r="E118" s="23">
        <f t="shared" si="3"/>
        <v>6392000</v>
      </c>
    </row>
    <row r="119" spans="1:7" x14ac:dyDescent="0.25">
      <c r="A119" s="43">
        <v>45403</v>
      </c>
      <c r="B119" t="s">
        <v>309</v>
      </c>
      <c r="C119" s="22">
        <v>214</v>
      </c>
      <c r="D119" s="20">
        <v>47000</v>
      </c>
      <c r="E119" s="23">
        <f t="shared" si="3"/>
        <v>10058000</v>
      </c>
    </row>
    <row r="120" spans="1:7" x14ac:dyDescent="0.25">
      <c r="A120" s="43"/>
      <c r="B120" t="s">
        <v>313</v>
      </c>
      <c r="C120" s="22">
        <v>222</v>
      </c>
      <c r="D120" s="20">
        <v>56000</v>
      </c>
      <c r="E120" s="23">
        <f t="shared" si="3"/>
        <v>12432000</v>
      </c>
    </row>
    <row r="121" spans="1:7" x14ac:dyDescent="0.25">
      <c r="A121" s="43">
        <v>45405</v>
      </c>
      <c r="B121" t="s">
        <v>317</v>
      </c>
      <c r="C121" s="22">
        <v>72</v>
      </c>
      <c r="D121" s="20">
        <v>52000</v>
      </c>
      <c r="E121" s="67">
        <f t="shared" si="3"/>
        <v>3744000</v>
      </c>
    </row>
    <row r="122" spans="1:7" x14ac:dyDescent="0.25">
      <c r="A122" s="43"/>
      <c r="B122" t="s">
        <v>311</v>
      </c>
      <c r="C122" s="22">
        <v>90</v>
      </c>
      <c r="D122" s="20">
        <v>45000</v>
      </c>
      <c r="E122" s="67">
        <f t="shared" si="3"/>
        <v>4050000</v>
      </c>
    </row>
    <row r="123" spans="1:7" x14ac:dyDescent="0.25">
      <c r="A123" s="43">
        <v>45406</v>
      </c>
      <c r="B123" t="s">
        <v>311</v>
      </c>
      <c r="C123" s="22">
        <v>38</v>
      </c>
      <c r="D123" s="20">
        <v>45000</v>
      </c>
      <c r="E123" s="67">
        <f t="shared" si="3"/>
        <v>1710000</v>
      </c>
    </row>
    <row r="124" spans="1:7" x14ac:dyDescent="0.25">
      <c r="A124" s="43"/>
      <c r="B124" t="s">
        <v>309</v>
      </c>
      <c r="C124" s="22">
        <v>68</v>
      </c>
      <c r="D124" s="20">
        <v>47000</v>
      </c>
      <c r="E124" s="67">
        <f t="shared" si="3"/>
        <v>3196000</v>
      </c>
    </row>
    <row r="125" spans="1:7" x14ac:dyDescent="0.25">
      <c r="A125" s="43"/>
      <c r="B125" t="s">
        <v>318</v>
      </c>
      <c r="C125" s="22">
        <v>136</v>
      </c>
      <c r="D125" s="20">
        <v>43000</v>
      </c>
      <c r="E125" s="67">
        <f t="shared" si="3"/>
        <v>5848000</v>
      </c>
    </row>
    <row r="126" spans="1:7" x14ac:dyDescent="0.25">
      <c r="A126" s="43">
        <v>45407</v>
      </c>
      <c r="B126" t="s">
        <v>311</v>
      </c>
      <c r="C126" s="22">
        <v>82</v>
      </c>
      <c r="D126" s="20">
        <v>45000</v>
      </c>
      <c r="E126" s="67">
        <f t="shared" si="3"/>
        <v>3690000</v>
      </c>
      <c r="G126" s="27"/>
    </row>
    <row r="127" spans="1:7" x14ac:dyDescent="0.25">
      <c r="A127" s="43"/>
      <c r="B127" t="s">
        <v>318</v>
      </c>
      <c r="C127" s="22">
        <v>96</v>
      </c>
      <c r="D127" s="20">
        <v>43000</v>
      </c>
      <c r="E127" s="67">
        <f t="shared" si="3"/>
        <v>4128000</v>
      </c>
    </row>
    <row r="128" spans="1:7" x14ac:dyDescent="0.25">
      <c r="A128" s="43"/>
      <c r="B128" t="s">
        <v>319</v>
      </c>
      <c r="C128" s="22">
        <v>66</v>
      </c>
      <c r="D128" s="20">
        <v>52000</v>
      </c>
      <c r="E128" s="67">
        <f t="shared" si="3"/>
        <v>3432000</v>
      </c>
    </row>
    <row r="129" spans="1:7" x14ac:dyDescent="0.25">
      <c r="A129" s="43">
        <v>45408</v>
      </c>
      <c r="B129" t="s">
        <v>319</v>
      </c>
      <c r="C129" s="22">
        <v>66</v>
      </c>
      <c r="D129" s="20">
        <v>52000</v>
      </c>
      <c r="E129" s="67">
        <f t="shared" si="3"/>
        <v>3432000</v>
      </c>
    </row>
    <row r="130" spans="1:7" x14ac:dyDescent="0.25">
      <c r="A130" s="43"/>
      <c r="B130" t="s">
        <v>311</v>
      </c>
      <c r="C130" s="22">
        <v>66</v>
      </c>
      <c r="D130" s="20">
        <v>45000</v>
      </c>
      <c r="E130" s="67">
        <f t="shared" si="3"/>
        <v>2970000</v>
      </c>
      <c r="G130" s="27"/>
    </row>
    <row r="131" spans="1:7" x14ac:dyDescent="0.25">
      <c r="A131" s="43">
        <v>45409</v>
      </c>
      <c r="B131" t="s">
        <v>311</v>
      </c>
      <c r="C131" s="22">
        <v>62</v>
      </c>
      <c r="D131" s="20">
        <v>45000</v>
      </c>
      <c r="E131" s="67">
        <f t="shared" si="3"/>
        <v>2790000</v>
      </c>
      <c r="G131" s="17"/>
    </row>
    <row r="132" spans="1:7" x14ac:dyDescent="0.25">
      <c r="B132" t="s">
        <v>309</v>
      </c>
      <c r="C132" s="22">
        <v>82</v>
      </c>
      <c r="D132" s="20">
        <v>47000</v>
      </c>
      <c r="E132" s="67">
        <f t="shared" ref="E132:E163" si="4">C132*D132</f>
        <v>3854000</v>
      </c>
    </row>
    <row r="133" spans="1:7" x14ac:dyDescent="0.25">
      <c r="B133" t="s">
        <v>318</v>
      </c>
      <c r="C133" s="22">
        <v>110</v>
      </c>
      <c r="D133" s="20">
        <v>43000</v>
      </c>
      <c r="E133" s="67">
        <f t="shared" si="4"/>
        <v>4730000</v>
      </c>
    </row>
    <row r="134" spans="1:7" x14ac:dyDescent="0.25">
      <c r="B134" t="s">
        <v>312</v>
      </c>
      <c r="C134" s="22">
        <v>48</v>
      </c>
      <c r="D134" s="20">
        <v>52000</v>
      </c>
      <c r="E134" s="67">
        <f t="shared" si="4"/>
        <v>2496000</v>
      </c>
    </row>
    <row r="135" spans="1:7" x14ac:dyDescent="0.25">
      <c r="A135" s="43">
        <v>45410</v>
      </c>
      <c r="B135" t="s">
        <v>309</v>
      </c>
      <c r="C135" s="22">
        <v>76</v>
      </c>
      <c r="D135" s="20">
        <v>47000</v>
      </c>
      <c r="E135" s="67">
        <f t="shared" si="4"/>
        <v>3572000</v>
      </c>
    </row>
    <row r="136" spans="1:7" x14ac:dyDescent="0.25">
      <c r="B136" t="s">
        <v>318</v>
      </c>
      <c r="C136" s="22">
        <v>30</v>
      </c>
      <c r="D136" s="20">
        <v>43000</v>
      </c>
      <c r="E136" s="67">
        <f t="shared" si="4"/>
        <v>1290000</v>
      </c>
    </row>
    <row r="137" spans="1:7" x14ac:dyDescent="0.25">
      <c r="B137" t="s">
        <v>311</v>
      </c>
      <c r="C137" s="22">
        <v>38</v>
      </c>
      <c r="D137" s="20">
        <v>45000</v>
      </c>
      <c r="E137" s="67">
        <f t="shared" si="4"/>
        <v>1710000</v>
      </c>
    </row>
    <row r="138" spans="1:7" x14ac:dyDescent="0.25">
      <c r="B138" t="s">
        <v>312</v>
      </c>
      <c r="C138" s="22">
        <v>60</v>
      </c>
      <c r="D138" s="20">
        <v>52000</v>
      </c>
      <c r="E138" s="67">
        <f t="shared" si="4"/>
        <v>3120000</v>
      </c>
    </row>
    <row r="139" spans="1:7" x14ac:dyDescent="0.25">
      <c r="B139" t="s">
        <v>320</v>
      </c>
      <c r="C139" s="22">
        <v>74</v>
      </c>
      <c r="D139" s="20">
        <v>45000</v>
      </c>
      <c r="E139" s="67">
        <f t="shared" si="4"/>
        <v>3330000</v>
      </c>
    </row>
    <row r="140" spans="1:7" x14ac:dyDescent="0.25">
      <c r="B140" t="s">
        <v>310</v>
      </c>
      <c r="C140" s="22">
        <f>60+60</f>
        <v>120</v>
      </c>
      <c r="D140" s="20">
        <v>48000</v>
      </c>
      <c r="E140" s="67">
        <f t="shared" si="4"/>
        <v>5760000</v>
      </c>
    </row>
    <row r="141" spans="1:7" x14ac:dyDescent="0.25">
      <c r="A141" s="43">
        <v>45412</v>
      </c>
      <c r="B141" t="s">
        <v>309</v>
      </c>
      <c r="C141" s="22">
        <v>64</v>
      </c>
      <c r="D141" s="20">
        <v>47000</v>
      </c>
      <c r="E141" s="67">
        <f t="shared" si="4"/>
        <v>3008000</v>
      </c>
    </row>
    <row r="142" spans="1:7" x14ac:dyDescent="0.25">
      <c r="B142" t="s">
        <v>318</v>
      </c>
      <c r="C142" s="22">
        <v>70</v>
      </c>
      <c r="D142" s="20">
        <v>43000</v>
      </c>
      <c r="E142" s="67">
        <f t="shared" si="4"/>
        <v>3010000</v>
      </c>
    </row>
    <row r="143" spans="1:7" x14ac:dyDescent="0.25">
      <c r="B143" t="s">
        <v>320</v>
      </c>
      <c r="C143" s="22">
        <v>86</v>
      </c>
      <c r="D143" s="20">
        <v>45000</v>
      </c>
      <c r="E143" s="67">
        <f t="shared" si="4"/>
        <v>3870000</v>
      </c>
    </row>
    <row r="144" spans="1:7" x14ac:dyDescent="0.25">
      <c r="B144" t="s">
        <v>310</v>
      </c>
      <c r="C144" s="22">
        <v>54</v>
      </c>
      <c r="D144" s="20">
        <v>48000</v>
      </c>
      <c r="E144" s="67">
        <f t="shared" si="4"/>
        <v>2592000</v>
      </c>
    </row>
    <row r="145" spans="2:5" x14ac:dyDescent="0.25">
      <c r="B145" t="s">
        <v>321</v>
      </c>
      <c r="C145" s="22">
        <v>80</v>
      </c>
      <c r="D145" s="20">
        <v>40000</v>
      </c>
      <c r="E145" s="67">
        <f t="shared" si="4"/>
        <v>3200000</v>
      </c>
    </row>
    <row r="146" spans="2:5" x14ac:dyDescent="0.25">
      <c r="B146" t="s">
        <v>322</v>
      </c>
      <c r="C146" s="22">
        <v>100</v>
      </c>
      <c r="D146" s="20">
        <v>42000</v>
      </c>
      <c r="E146" s="67">
        <f t="shared" si="4"/>
        <v>4200000</v>
      </c>
    </row>
    <row r="147" spans="2:5" x14ac:dyDescent="0.25">
      <c r="E147" s="67"/>
    </row>
    <row r="148" spans="2:5" x14ac:dyDescent="0.25">
      <c r="E148" s="67"/>
    </row>
    <row r="149" spans="2:5" x14ac:dyDescent="0.25">
      <c r="E149" s="67"/>
    </row>
    <row r="150" spans="2:5" x14ac:dyDescent="0.25">
      <c r="E150" s="67"/>
    </row>
    <row r="151" spans="2:5" x14ac:dyDescent="0.25">
      <c r="E151" s="67"/>
    </row>
    <row r="199" spans="5:7" x14ac:dyDescent="0.25">
      <c r="E199" s="23">
        <f>SUM(E3:E198)</f>
        <v>758293000</v>
      </c>
      <c r="G199" s="27">
        <f>SUM(G3:G198)</f>
        <v>741422000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C5A1-44DD-EC42-BDCA-77E70CF1A097}">
  <dimension ref="A2:B3"/>
  <sheetViews>
    <sheetView zoomScaleNormal="100" zoomScaleSheetLayoutView="100" workbookViewId="0">
      <selection activeCell="B4" sqref="B4"/>
    </sheetView>
  </sheetViews>
  <sheetFormatPr defaultRowHeight="15" x14ac:dyDescent="0.25"/>
  <cols>
    <col min="1" max="1" width="30.85546875" customWidth="1"/>
    <col min="2" max="2" width="16.85546875" customWidth="1"/>
  </cols>
  <sheetData>
    <row r="2" spans="1:2" x14ac:dyDescent="0.25">
      <c r="A2" t="s">
        <v>302</v>
      </c>
      <c r="B2" s="7">
        <f>'Январ 2024'!E199</f>
        <v>758293000</v>
      </c>
    </row>
    <row r="3" spans="1:2" x14ac:dyDescent="0.25">
      <c r="A3" t="s">
        <v>303</v>
      </c>
      <c r="B3" s="7">
        <f>'Январ 2024'!G199</f>
        <v>741422000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BD82-02C2-2C46-90AE-7FCCBF8FC09D}">
  <dimension ref="A1:K200"/>
  <sheetViews>
    <sheetView topLeftCell="B1" zoomScaleNormal="100" zoomScaleSheetLayoutView="100" workbookViewId="0">
      <selection activeCell="J8" sqref="J8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7109375" style="22" bestFit="1" customWidth="1"/>
    <col min="4" max="4" width="11.28515625" style="20" bestFit="1" customWidth="1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'2023 август'!I3</f>
        <v>15112000</v>
      </c>
      <c r="F3" s="26">
        <v>45170</v>
      </c>
      <c r="G3" s="27">
        <v>1800000</v>
      </c>
      <c r="I3" s="110">
        <f>E199-G199</f>
        <v>34995000</v>
      </c>
      <c r="J3" s="111"/>
    </row>
    <row r="4" spans="1:11" x14ac:dyDescent="0.25">
      <c r="A4" s="21">
        <v>45170</v>
      </c>
      <c r="B4" t="s">
        <v>260</v>
      </c>
      <c r="C4" s="22">
        <v>12</v>
      </c>
      <c r="D4" s="23">
        <v>45000</v>
      </c>
      <c r="E4" s="23">
        <f t="shared" ref="E4:E35" si="0">C4*D4</f>
        <v>540000</v>
      </c>
      <c r="F4" s="26">
        <v>45171</v>
      </c>
      <c r="G4" s="27">
        <v>150000</v>
      </c>
      <c r="I4" s="89" t="s">
        <v>132</v>
      </c>
      <c r="J4" s="90">
        <v>11550</v>
      </c>
    </row>
    <row r="5" spans="1:11" ht="15.75" thickBot="1" x14ac:dyDescent="0.3">
      <c r="A5" s="21">
        <v>45174</v>
      </c>
      <c r="B5" t="s">
        <v>266</v>
      </c>
      <c r="C5" s="22">
        <v>190</v>
      </c>
      <c r="D5" s="23">
        <v>38000</v>
      </c>
      <c r="E5" s="67">
        <f t="shared" si="0"/>
        <v>7220000</v>
      </c>
      <c r="F5" s="26">
        <v>45172</v>
      </c>
      <c r="G5" s="27">
        <v>965000</v>
      </c>
      <c r="I5" s="112">
        <f>I3/J4</f>
        <v>3029.8701298701299</v>
      </c>
      <c r="J5" s="113"/>
    </row>
    <row r="6" spans="1:11" ht="15.75" thickBot="1" x14ac:dyDescent="0.3">
      <c r="A6" s="21">
        <v>45175</v>
      </c>
      <c r="B6" t="s">
        <v>265</v>
      </c>
      <c r="C6" s="22">
        <v>11</v>
      </c>
      <c r="D6" s="23">
        <v>35000</v>
      </c>
      <c r="E6" s="23">
        <f t="shared" si="0"/>
        <v>385000</v>
      </c>
      <c r="F6" s="26">
        <v>45174</v>
      </c>
      <c r="G6" s="27">
        <v>3000000</v>
      </c>
      <c r="I6" s="91" t="s">
        <v>14</v>
      </c>
      <c r="J6" s="92"/>
      <c r="K6" s="1"/>
    </row>
    <row r="7" spans="1:11" ht="15.75" thickBot="1" x14ac:dyDescent="0.3">
      <c r="A7" s="21">
        <v>45176</v>
      </c>
      <c r="B7" t="s">
        <v>266</v>
      </c>
      <c r="C7" s="22">
        <v>140</v>
      </c>
      <c r="D7" s="23">
        <v>38000</v>
      </c>
      <c r="E7" s="23">
        <f t="shared" si="0"/>
        <v>5320000</v>
      </c>
      <c r="F7" s="26">
        <v>45175</v>
      </c>
      <c r="G7" s="27">
        <v>5600000</v>
      </c>
    </row>
    <row r="8" spans="1:11" ht="15.75" thickBot="1" x14ac:dyDescent="0.3">
      <c r="A8" s="21">
        <v>45177</v>
      </c>
      <c r="B8" t="s">
        <v>266</v>
      </c>
      <c r="C8" s="22">
        <v>28</v>
      </c>
      <c r="D8" s="23">
        <v>38000</v>
      </c>
      <c r="E8" s="23">
        <f t="shared" si="0"/>
        <v>1064000</v>
      </c>
      <c r="F8" s="26">
        <v>45176</v>
      </c>
      <c r="G8" s="27">
        <v>6000000</v>
      </c>
      <c r="I8" s="29" t="s">
        <v>15</v>
      </c>
      <c r="J8" s="30">
        <f>I3-J6</f>
        <v>34995000</v>
      </c>
    </row>
    <row r="9" spans="1:11" x14ac:dyDescent="0.25">
      <c r="A9" s="21">
        <v>45179</v>
      </c>
      <c r="B9" t="s">
        <v>266</v>
      </c>
      <c r="C9" s="22">
        <v>100</v>
      </c>
      <c r="D9" s="23">
        <v>38000</v>
      </c>
      <c r="E9" s="23">
        <f t="shared" si="0"/>
        <v>3800000</v>
      </c>
      <c r="F9" s="26">
        <v>45177</v>
      </c>
      <c r="G9" s="27">
        <v>175000</v>
      </c>
    </row>
    <row r="10" spans="1:11" ht="15.75" thickBot="1" x14ac:dyDescent="0.3">
      <c r="A10" s="43">
        <v>45181</v>
      </c>
      <c r="B10" t="s">
        <v>266</v>
      </c>
      <c r="C10" s="22">
        <v>100</v>
      </c>
      <c r="D10" s="20">
        <v>38000</v>
      </c>
      <c r="E10" s="20">
        <f t="shared" si="0"/>
        <v>3800000</v>
      </c>
      <c r="F10" s="26">
        <v>45179</v>
      </c>
      <c r="G10" s="27">
        <v>2385000</v>
      </c>
    </row>
    <row r="11" spans="1:11" ht="15.75" thickBot="1" x14ac:dyDescent="0.3">
      <c r="A11" s="21">
        <v>45183</v>
      </c>
      <c r="B11" t="s">
        <v>266</v>
      </c>
      <c r="C11" s="22">
        <v>142</v>
      </c>
      <c r="D11" s="23">
        <v>38000</v>
      </c>
      <c r="E11" s="23">
        <f t="shared" si="0"/>
        <v>5396000</v>
      </c>
      <c r="F11" s="26">
        <v>45181</v>
      </c>
      <c r="G11" s="27">
        <v>4500000</v>
      </c>
      <c r="I11" s="54" t="s">
        <v>66</v>
      </c>
      <c r="J11" s="55"/>
    </row>
    <row r="12" spans="1:11" x14ac:dyDescent="0.25">
      <c r="A12" s="21">
        <v>45184</v>
      </c>
      <c r="B12" t="s">
        <v>266</v>
      </c>
      <c r="C12" s="22">
        <v>90</v>
      </c>
      <c r="D12" s="23">
        <v>38000</v>
      </c>
      <c r="E12" s="23">
        <f t="shared" si="0"/>
        <v>3420000</v>
      </c>
      <c r="F12" s="26">
        <v>45182</v>
      </c>
      <c r="G12" s="27">
        <v>950000</v>
      </c>
    </row>
    <row r="13" spans="1:11" x14ac:dyDescent="0.25">
      <c r="A13" s="21">
        <v>45185</v>
      </c>
      <c r="B13" t="s">
        <v>267</v>
      </c>
      <c r="C13" s="22">
        <v>102</v>
      </c>
      <c r="D13" s="23">
        <v>60000</v>
      </c>
      <c r="E13" s="23">
        <f t="shared" si="0"/>
        <v>6120000</v>
      </c>
      <c r="F13" s="26">
        <v>45183</v>
      </c>
      <c r="G13" s="27">
        <v>6600000</v>
      </c>
    </row>
    <row r="14" spans="1:11" ht="15.75" thickBot="1" x14ac:dyDescent="0.3">
      <c r="A14" s="21">
        <v>45185</v>
      </c>
      <c r="B14" t="s">
        <v>266</v>
      </c>
      <c r="C14" s="22">
        <v>198</v>
      </c>
      <c r="D14" s="23">
        <v>38000</v>
      </c>
      <c r="E14" s="23">
        <f t="shared" si="0"/>
        <v>7524000</v>
      </c>
      <c r="F14" s="26">
        <v>45184</v>
      </c>
      <c r="G14" s="27">
        <v>5900000</v>
      </c>
    </row>
    <row r="15" spans="1:11" x14ac:dyDescent="0.25">
      <c r="A15" s="21">
        <v>45186</v>
      </c>
      <c r="B15" t="s">
        <v>266</v>
      </c>
      <c r="C15" s="22">
        <v>110</v>
      </c>
      <c r="D15" s="23">
        <v>38000</v>
      </c>
      <c r="E15" s="23">
        <f t="shared" si="0"/>
        <v>4180000</v>
      </c>
      <c r="F15" s="26">
        <v>45185</v>
      </c>
      <c r="G15" s="27">
        <v>4100000</v>
      </c>
      <c r="I15" s="114"/>
      <c r="J15" s="115"/>
    </row>
    <row r="16" spans="1:11" ht="15.75" thickBot="1" x14ac:dyDescent="0.3">
      <c r="A16" s="21">
        <v>45188</v>
      </c>
      <c r="B16" t="s">
        <v>268</v>
      </c>
      <c r="C16" s="22">
        <v>174</v>
      </c>
      <c r="D16" s="23">
        <v>53000</v>
      </c>
      <c r="E16" s="23">
        <f t="shared" si="0"/>
        <v>9222000</v>
      </c>
      <c r="F16" s="26">
        <v>45186</v>
      </c>
      <c r="G16" s="27">
        <v>3454000</v>
      </c>
      <c r="I16" s="80"/>
      <c r="J16" s="81"/>
    </row>
    <row r="17" spans="1:8" x14ac:dyDescent="0.25">
      <c r="A17" s="21"/>
      <c r="B17" t="s">
        <v>267</v>
      </c>
      <c r="C17" s="22">
        <v>122</v>
      </c>
      <c r="D17" s="23">
        <v>60000</v>
      </c>
      <c r="E17" s="23">
        <f t="shared" si="0"/>
        <v>7320000</v>
      </c>
      <c r="F17" s="26">
        <v>45188</v>
      </c>
      <c r="G17" s="27">
        <f>2550000+8950000+1220000</f>
        <v>12720000</v>
      </c>
    </row>
    <row r="18" spans="1:8" x14ac:dyDescent="0.25">
      <c r="A18" s="21"/>
      <c r="B18" t="s">
        <v>156</v>
      </c>
      <c r="C18" s="22">
        <v>6</v>
      </c>
      <c r="D18" s="23">
        <v>50000</v>
      </c>
      <c r="E18" s="23">
        <f t="shared" si="0"/>
        <v>300000</v>
      </c>
      <c r="F18" s="26">
        <v>45189</v>
      </c>
      <c r="G18" s="27">
        <v>4400000</v>
      </c>
    </row>
    <row r="19" spans="1:8" x14ac:dyDescent="0.25">
      <c r="A19" s="21"/>
      <c r="B19" t="s">
        <v>266</v>
      </c>
      <c r="C19" s="22">
        <v>106</v>
      </c>
      <c r="D19" s="23">
        <v>38000</v>
      </c>
      <c r="E19" s="23">
        <f t="shared" si="0"/>
        <v>4028000</v>
      </c>
      <c r="F19" s="45">
        <v>45190</v>
      </c>
      <c r="G19" s="17">
        <v>6700000</v>
      </c>
    </row>
    <row r="20" spans="1:8" x14ac:dyDescent="0.25">
      <c r="A20" s="43">
        <v>45189</v>
      </c>
      <c r="B20" t="s">
        <v>268</v>
      </c>
      <c r="C20" s="22">
        <v>110</v>
      </c>
      <c r="D20" s="20">
        <v>53000</v>
      </c>
      <c r="E20" s="96">
        <f t="shared" si="0"/>
        <v>5830000</v>
      </c>
      <c r="F20" s="26">
        <v>45191</v>
      </c>
      <c r="G20" s="27">
        <v>5900000</v>
      </c>
    </row>
    <row r="21" spans="1:8" x14ac:dyDescent="0.25">
      <c r="A21" s="21"/>
      <c r="B21" t="s">
        <v>267</v>
      </c>
      <c r="C21" s="22">
        <v>120</v>
      </c>
      <c r="D21" s="23">
        <v>60000</v>
      </c>
      <c r="E21" s="23">
        <f t="shared" si="0"/>
        <v>7200000</v>
      </c>
      <c r="F21" s="26">
        <v>45192</v>
      </c>
      <c r="G21" s="27">
        <v>6260000</v>
      </c>
    </row>
    <row r="22" spans="1:8" x14ac:dyDescent="0.25">
      <c r="A22" s="21"/>
      <c r="B22" t="s">
        <v>268</v>
      </c>
      <c r="C22" s="22">
        <v>10</v>
      </c>
      <c r="D22" s="23">
        <v>53000</v>
      </c>
      <c r="E22" s="23">
        <f t="shared" si="0"/>
        <v>530000</v>
      </c>
      <c r="F22" s="26">
        <v>45193</v>
      </c>
      <c r="G22" s="27">
        <v>8655000</v>
      </c>
      <c r="H22" t="s">
        <v>270</v>
      </c>
    </row>
    <row r="23" spans="1:8" x14ac:dyDescent="0.25">
      <c r="A23" s="21"/>
      <c r="B23" t="s">
        <v>266</v>
      </c>
      <c r="C23" s="22">
        <v>12</v>
      </c>
      <c r="D23" s="23">
        <v>38000</v>
      </c>
      <c r="E23" s="23">
        <f t="shared" si="0"/>
        <v>456000</v>
      </c>
      <c r="F23" s="26">
        <v>45193</v>
      </c>
      <c r="G23" s="27">
        <f>435000+4650000</f>
        <v>5085000</v>
      </c>
    </row>
    <row r="24" spans="1:8" x14ac:dyDescent="0.25">
      <c r="A24" s="21">
        <v>45191</v>
      </c>
      <c r="B24" t="s">
        <v>267</v>
      </c>
      <c r="C24" s="22">
        <v>124</v>
      </c>
      <c r="D24" s="23">
        <v>60000</v>
      </c>
      <c r="E24" s="23">
        <f t="shared" si="0"/>
        <v>7440000</v>
      </c>
      <c r="F24" s="26">
        <v>45195</v>
      </c>
      <c r="G24" s="27">
        <f>9750000+480000</f>
        <v>10230000</v>
      </c>
    </row>
    <row r="25" spans="1:8" x14ac:dyDescent="0.25">
      <c r="A25" s="21">
        <v>45192</v>
      </c>
      <c r="B25" t="s">
        <v>269</v>
      </c>
      <c r="C25" s="22">
        <v>118</v>
      </c>
      <c r="D25" s="23">
        <v>60000</v>
      </c>
      <c r="E25" s="23">
        <f t="shared" si="0"/>
        <v>7080000</v>
      </c>
      <c r="F25" s="26">
        <v>45196</v>
      </c>
      <c r="G25" s="27">
        <v>8850000</v>
      </c>
    </row>
    <row r="26" spans="1:8" x14ac:dyDescent="0.25">
      <c r="A26" s="21">
        <v>45193</v>
      </c>
      <c r="B26" t="s">
        <v>269</v>
      </c>
      <c r="C26" s="22">
        <v>32</v>
      </c>
      <c r="D26" s="23">
        <v>60000</v>
      </c>
      <c r="E26" s="23">
        <f t="shared" si="0"/>
        <v>1920000</v>
      </c>
      <c r="F26" s="26">
        <v>45197</v>
      </c>
      <c r="G26" s="27">
        <v>350000</v>
      </c>
    </row>
    <row r="27" spans="1:8" x14ac:dyDescent="0.25">
      <c r="A27" s="21"/>
      <c r="B27" t="s">
        <v>268</v>
      </c>
      <c r="C27" s="22">
        <v>55</v>
      </c>
      <c r="D27" s="23">
        <v>53000</v>
      </c>
      <c r="E27" s="23">
        <f t="shared" si="0"/>
        <v>2915000</v>
      </c>
      <c r="F27" s="26">
        <v>45198</v>
      </c>
      <c r="G27" s="27">
        <v>2400000</v>
      </c>
    </row>
    <row r="28" spans="1:8" x14ac:dyDescent="0.25">
      <c r="A28" s="21"/>
      <c r="B28" t="s">
        <v>267</v>
      </c>
      <c r="C28" s="22">
        <v>72</v>
      </c>
      <c r="D28" s="23">
        <v>60000</v>
      </c>
      <c r="E28" s="23">
        <f t="shared" si="0"/>
        <v>4320000</v>
      </c>
      <c r="F28" s="45">
        <v>45199</v>
      </c>
      <c r="G28" s="17">
        <v>650000</v>
      </c>
    </row>
    <row r="29" spans="1:8" x14ac:dyDescent="0.25">
      <c r="A29" s="21">
        <v>45195</v>
      </c>
      <c r="B29" t="s">
        <v>271</v>
      </c>
      <c r="C29" s="22">
        <v>122</v>
      </c>
      <c r="D29" s="23">
        <v>58000</v>
      </c>
      <c r="E29" s="23">
        <f t="shared" si="0"/>
        <v>7076000</v>
      </c>
      <c r="F29" s="26">
        <v>45200</v>
      </c>
      <c r="G29" s="27">
        <v>11767000</v>
      </c>
    </row>
    <row r="30" spans="1:8" x14ac:dyDescent="0.25">
      <c r="A30" s="21"/>
      <c r="B30" t="s">
        <v>267</v>
      </c>
      <c r="C30" s="22">
        <v>22</v>
      </c>
      <c r="D30" s="23">
        <v>60000</v>
      </c>
      <c r="E30" s="23">
        <f t="shared" si="0"/>
        <v>1320000</v>
      </c>
      <c r="F30" s="26">
        <v>45202</v>
      </c>
      <c r="G30" s="27">
        <v>2415000</v>
      </c>
    </row>
    <row r="31" spans="1:8" x14ac:dyDescent="0.25">
      <c r="A31" s="21">
        <v>45196</v>
      </c>
      <c r="B31" t="s">
        <v>267</v>
      </c>
      <c r="C31" s="22">
        <v>8</v>
      </c>
      <c r="D31" s="23">
        <v>60000</v>
      </c>
      <c r="E31" s="23">
        <f t="shared" si="0"/>
        <v>480000</v>
      </c>
      <c r="F31" s="26">
        <v>45203</v>
      </c>
      <c r="G31" s="27">
        <v>350000</v>
      </c>
    </row>
    <row r="32" spans="1:8" x14ac:dyDescent="0.25">
      <c r="A32" s="43"/>
      <c r="B32" t="s">
        <v>268</v>
      </c>
      <c r="C32" s="22">
        <v>2</v>
      </c>
      <c r="D32" s="20">
        <v>53000</v>
      </c>
      <c r="E32" s="44">
        <f t="shared" si="0"/>
        <v>106000</v>
      </c>
      <c r="F32" s="26">
        <v>45204</v>
      </c>
      <c r="G32" s="27">
        <v>13800000</v>
      </c>
    </row>
    <row r="33" spans="1:7" x14ac:dyDescent="0.25">
      <c r="A33" s="21"/>
      <c r="B33" t="s">
        <v>271</v>
      </c>
      <c r="C33" s="22">
        <v>36</v>
      </c>
      <c r="D33" s="23">
        <v>58000</v>
      </c>
      <c r="E33" s="23">
        <f t="shared" si="0"/>
        <v>2088000</v>
      </c>
      <c r="F33" s="26">
        <v>45205</v>
      </c>
      <c r="G33" s="27">
        <v>4200000</v>
      </c>
    </row>
    <row r="34" spans="1:7" x14ac:dyDescent="0.25">
      <c r="A34" s="21">
        <v>45199</v>
      </c>
      <c r="B34" t="s">
        <v>272</v>
      </c>
      <c r="C34" s="22">
        <v>306</v>
      </c>
      <c r="D34" s="23">
        <v>54000</v>
      </c>
      <c r="E34" s="23">
        <f t="shared" si="0"/>
        <v>16524000</v>
      </c>
      <c r="F34" s="26">
        <v>45206</v>
      </c>
      <c r="G34" s="27">
        <v>1700000</v>
      </c>
    </row>
    <row r="35" spans="1:7" x14ac:dyDescent="0.25">
      <c r="A35" s="21">
        <v>45200</v>
      </c>
      <c r="B35" t="s">
        <v>272</v>
      </c>
      <c r="C35" s="22">
        <v>38</v>
      </c>
      <c r="D35" s="23">
        <v>54000</v>
      </c>
      <c r="E35" s="23">
        <f t="shared" si="0"/>
        <v>2052000</v>
      </c>
      <c r="F35" s="26">
        <v>45207</v>
      </c>
      <c r="G35" s="27">
        <v>7330000</v>
      </c>
    </row>
    <row r="36" spans="1:7" x14ac:dyDescent="0.25">
      <c r="A36" s="21">
        <v>45203</v>
      </c>
      <c r="B36" t="s">
        <v>272</v>
      </c>
      <c r="C36" s="22">
        <v>140</v>
      </c>
      <c r="D36" s="23">
        <v>54000</v>
      </c>
      <c r="E36" s="23">
        <f t="shared" ref="E36:E67" si="1">C36*D36</f>
        <v>7560000</v>
      </c>
      <c r="F36" s="26">
        <v>45209</v>
      </c>
      <c r="G36" s="27">
        <v>9500000</v>
      </c>
    </row>
    <row r="37" spans="1:7" x14ac:dyDescent="0.25">
      <c r="A37" s="21">
        <v>45204</v>
      </c>
      <c r="B37" t="s">
        <v>271</v>
      </c>
      <c r="C37" s="22">
        <v>88</v>
      </c>
      <c r="D37" s="23">
        <v>58000</v>
      </c>
      <c r="E37" s="23">
        <f t="shared" si="1"/>
        <v>5104000</v>
      </c>
      <c r="F37" s="26">
        <v>45210</v>
      </c>
      <c r="G37" s="27">
        <v>2550000</v>
      </c>
    </row>
    <row r="38" spans="1:7" x14ac:dyDescent="0.25">
      <c r="A38" s="21">
        <v>45205</v>
      </c>
      <c r="B38" t="s">
        <v>271</v>
      </c>
      <c r="C38" s="22">
        <v>84</v>
      </c>
      <c r="D38" s="23">
        <v>58000</v>
      </c>
      <c r="E38" s="23">
        <f t="shared" si="1"/>
        <v>4872000</v>
      </c>
      <c r="F38" s="26">
        <v>45211</v>
      </c>
      <c r="G38" s="27">
        <v>14000000</v>
      </c>
    </row>
    <row r="39" spans="1:7" x14ac:dyDescent="0.25">
      <c r="A39" s="21">
        <v>45207</v>
      </c>
      <c r="B39" t="s">
        <v>272</v>
      </c>
      <c r="C39" s="22">
        <v>70</v>
      </c>
      <c r="D39" s="23">
        <v>54000</v>
      </c>
      <c r="E39" s="23">
        <f t="shared" si="1"/>
        <v>3780000</v>
      </c>
      <c r="F39" s="26">
        <v>45212</v>
      </c>
      <c r="G39" s="27">
        <v>1090000</v>
      </c>
    </row>
    <row r="40" spans="1:7" x14ac:dyDescent="0.25">
      <c r="A40" s="21">
        <v>45209</v>
      </c>
      <c r="B40" t="s">
        <v>272</v>
      </c>
      <c r="C40" s="22">
        <v>152</v>
      </c>
      <c r="D40" s="23">
        <v>54000</v>
      </c>
      <c r="E40" s="23">
        <f t="shared" si="1"/>
        <v>8208000</v>
      </c>
      <c r="F40" s="26">
        <v>45214</v>
      </c>
      <c r="G40" s="27">
        <v>7930000</v>
      </c>
    </row>
    <row r="41" spans="1:7" x14ac:dyDescent="0.25">
      <c r="A41" s="21">
        <v>45210</v>
      </c>
      <c r="B41" t="s">
        <v>268</v>
      </c>
      <c r="C41" s="22">
        <v>160</v>
      </c>
      <c r="D41" s="23">
        <v>53000</v>
      </c>
      <c r="E41" s="23">
        <f t="shared" si="1"/>
        <v>8480000</v>
      </c>
      <c r="F41" s="45">
        <v>45216</v>
      </c>
      <c r="G41" s="17">
        <v>8100000</v>
      </c>
    </row>
    <row r="42" spans="1:7" x14ac:dyDescent="0.25">
      <c r="A42" s="21">
        <v>45211</v>
      </c>
      <c r="B42" t="s">
        <v>272</v>
      </c>
      <c r="C42" s="22">
        <v>238</v>
      </c>
      <c r="D42" s="23">
        <v>54000</v>
      </c>
      <c r="E42" s="23">
        <f t="shared" si="1"/>
        <v>12852000</v>
      </c>
      <c r="F42" s="26">
        <v>45217</v>
      </c>
      <c r="G42" s="27">
        <v>1950000</v>
      </c>
    </row>
    <row r="43" spans="1:7" x14ac:dyDescent="0.25">
      <c r="A43" s="21">
        <v>45212</v>
      </c>
      <c r="B43" t="s">
        <v>268</v>
      </c>
      <c r="C43" s="22">
        <v>50</v>
      </c>
      <c r="D43" s="23">
        <v>53000</v>
      </c>
      <c r="E43" s="23">
        <f t="shared" si="1"/>
        <v>2650000</v>
      </c>
      <c r="F43" s="26">
        <v>45218</v>
      </c>
      <c r="G43" s="27">
        <v>2300000</v>
      </c>
    </row>
    <row r="44" spans="1:7" x14ac:dyDescent="0.25">
      <c r="A44" s="21">
        <v>45214</v>
      </c>
      <c r="B44" t="s">
        <v>272</v>
      </c>
      <c r="C44" s="22">
        <v>150</v>
      </c>
      <c r="D44" s="23">
        <v>54000</v>
      </c>
      <c r="E44" s="23">
        <f t="shared" si="1"/>
        <v>8100000</v>
      </c>
      <c r="F44" s="26">
        <v>45219</v>
      </c>
      <c r="G44" s="27">
        <v>12300000</v>
      </c>
    </row>
    <row r="45" spans="1:7" x14ac:dyDescent="0.25">
      <c r="A45" s="21">
        <v>45216</v>
      </c>
      <c r="B45" t="s">
        <v>272</v>
      </c>
      <c r="C45" s="22">
        <v>180</v>
      </c>
      <c r="D45" s="23">
        <v>54000</v>
      </c>
      <c r="E45" s="23">
        <f t="shared" si="1"/>
        <v>9720000</v>
      </c>
      <c r="F45" s="85">
        <v>45220</v>
      </c>
      <c r="G45" s="86">
        <v>10500000</v>
      </c>
    </row>
    <row r="46" spans="1:7" x14ac:dyDescent="0.25">
      <c r="A46" s="21">
        <v>45217</v>
      </c>
      <c r="B46" t="s">
        <v>272</v>
      </c>
      <c r="C46" s="22">
        <v>122</v>
      </c>
      <c r="D46" s="23">
        <v>54000</v>
      </c>
      <c r="E46" s="23">
        <f t="shared" si="1"/>
        <v>6588000</v>
      </c>
      <c r="F46" s="26">
        <v>45221</v>
      </c>
      <c r="G46" s="27">
        <v>4370000</v>
      </c>
    </row>
    <row r="47" spans="1:7" x14ac:dyDescent="0.25">
      <c r="A47" s="21">
        <v>45218</v>
      </c>
      <c r="B47" t="s">
        <v>272</v>
      </c>
      <c r="C47" s="22">
        <v>62</v>
      </c>
      <c r="D47" s="23">
        <v>54000</v>
      </c>
      <c r="E47" s="23">
        <f t="shared" si="1"/>
        <v>3348000</v>
      </c>
      <c r="F47" s="26">
        <v>45223</v>
      </c>
      <c r="G47" s="27">
        <v>21200000</v>
      </c>
    </row>
    <row r="48" spans="1:7" x14ac:dyDescent="0.25">
      <c r="A48" s="21">
        <v>45219</v>
      </c>
      <c r="B48" t="s">
        <v>272</v>
      </c>
      <c r="C48" s="22">
        <v>180</v>
      </c>
      <c r="D48" s="23">
        <v>54000</v>
      </c>
      <c r="E48" s="23">
        <f t="shared" si="1"/>
        <v>9720000</v>
      </c>
      <c r="F48" s="26">
        <v>45224</v>
      </c>
      <c r="G48" s="27">
        <v>12420000</v>
      </c>
    </row>
    <row r="49" spans="1:7" x14ac:dyDescent="0.25">
      <c r="A49" s="21">
        <v>45220</v>
      </c>
      <c r="B49" t="s">
        <v>272</v>
      </c>
      <c r="C49" s="22">
        <v>144</v>
      </c>
      <c r="D49" s="23">
        <v>54000</v>
      </c>
      <c r="E49" s="23">
        <f t="shared" si="1"/>
        <v>7776000</v>
      </c>
      <c r="F49" s="45">
        <v>45225</v>
      </c>
      <c r="G49" s="17">
        <v>14100000</v>
      </c>
    </row>
    <row r="50" spans="1:7" x14ac:dyDescent="0.25">
      <c r="A50" s="21">
        <v>45221</v>
      </c>
      <c r="B50" t="s">
        <v>272</v>
      </c>
      <c r="C50" s="22">
        <v>102</v>
      </c>
      <c r="D50" s="23">
        <v>54000</v>
      </c>
      <c r="E50" s="23">
        <f t="shared" si="1"/>
        <v>5508000</v>
      </c>
      <c r="F50" s="26">
        <v>45226</v>
      </c>
      <c r="G50" s="27">
        <v>1650000</v>
      </c>
    </row>
    <row r="51" spans="1:7" x14ac:dyDescent="0.25">
      <c r="A51" s="21">
        <v>45224</v>
      </c>
      <c r="B51" t="s">
        <v>273</v>
      </c>
      <c r="C51" s="22">
        <v>186</v>
      </c>
      <c r="D51" s="23">
        <v>64000</v>
      </c>
      <c r="E51" s="23">
        <f t="shared" si="1"/>
        <v>11904000</v>
      </c>
      <c r="F51" s="85">
        <v>45227</v>
      </c>
      <c r="G51" s="86">
        <v>4000000</v>
      </c>
    </row>
    <row r="52" spans="1:7" x14ac:dyDescent="0.25">
      <c r="A52" s="43">
        <v>45224</v>
      </c>
      <c r="B52" t="s">
        <v>274</v>
      </c>
      <c r="C52" s="22">
        <v>50</v>
      </c>
      <c r="D52" s="20">
        <v>58000</v>
      </c>
      <c r="E52" s="23">
        <f t="shared" si="1"/>
        <v>2900000</v>
      </c>
      <c r="F52" s="26">
        <v>45228</v>
      </c>
      <c r="G52" s="27">
        <f>6750000+100000</f>
        <v>6850000</v>
      </c>
    </row>
    <row r="53" spans="1:7" x14ac:dyDescent="0.25">
      <c r="A53" s="21">
        <v>45225</v>
      </c>
      <c r="B53" t="s">
        <v>272</v>
      </c>
      <c r="C53" s="22">
        <v>364</v>
      </c>
      <c r="D53" s="23">
        <v>54000</v>
      </c>
      <c r="E53" s="23">
        <f t="shared" si="1"/>
        <v>19656000</v>
      </c>
      <c r="F53" s="26">
        <v>45230</v>
      </c>
      <c r="G53" s="27">
        <v>6400000</v>
      </c>
    </row>
    <row r="54" spans="1:7" x14ac:dyDescent="0.25">
      <c r="A54" s="21">
        <v>45225</v>
      </c>
      <c r="B54" t="s">
        <v>273</v>
      </c>
      <c r="C54" s="22">
        <v>54</v>
      </c>
      <c r="D54" s="23">
        <v>64000</v>
      </c>
      <c r="E54" s="23">
        <f t="shared" si="1"/>
        <v>3456000</v>
      </c>
      <c r="F54" s="26">
        <v>45231</v>
      </c>
      <c r="G54" s="27">
        <v>650000</v>
      </c>
    </row>
    <row r="55" spans="1:7" x14ac:dyDescent="0.25">
      <c r="A55" s="21">
        <v>45225</v>
      </c>
      <c r="B55" t="s">
        <v>274</v>
      </c>
      <c r="C55" s="22">
        <v>26</v>
      </c>
      <c r="D55" s="23">
        <v>58000</v>
      </c>
      <c r="E55" s="23">
        <f t="shared" si="1"/>
        <v>1508000</v>
      </c>
      <c r="F55" s="26">
        <v>45232</v>
      </c>
      <c r="G55" s="27">
        <v>4760000</v>
      </c>
    </row>
    <row r="56" spans="1:7" x14ac:dyDescent="0.25">
      <c r="A56" s="21">
        <v>45226</v>
      </c>
      <c r="B56" t="s">
        <v>272</v>
      </c>
      <c r="C56" s="22">
        <v>166</v>
      </c>
      <c r="D56" s="23">
        <v>54000</v>
      </c>
      <c r="E56" s="23">
        <f t="shared" si="1"/>
        <v>8964000</v>
      </c>
      <c r="F56" s="26">
        <v>45233</v>
      </c>
      <c r="G56" s="27">
        <v>1520000</v>
      </c>
    </row>
    <row r="57" spans="1:7" x14ac:dyDescent="0.25">
      <c r="A57" s="21"/>
      <c r="B57" t="s">
        <v>273</v>
      </c>
      <c r="C57" s="22">
        <v>64</v>
      </c>
      <c r="D57" s="23">
        <v>64000</v>
      </c>
      <c r="E57" s="23">
        <f t="shared" si="1"/>
        <v>4096000</v>
      </c>
      <c r="F57" s="94">
        <v>45234</v>
      </c>
      <c r="G57" s="95">
        <v>1700000</v>
      </c>
    </row>
    <row r="58" spans="1:7" x14ac:dyDescent="0.25">
      <c r="A58" s="21"/>
      <c r="B58" t="s">
        <v>274</v>
      </c>
      <c r="C58" s="22">
        <v>70</v>
      </c>
      <c r="D58" s="23">
        <v>58000</v>
      </c>
      <c r="E58" s="23">
        <f t="shared" si="1"/>
        <v>4060000</v>
      </c>
      <c r="F58" s="26">
        <v>45235</v>
      </c>
      <c r="G58" s="27">
        <v>375000</v>
      </c>
    </row>
    <row r="59" spans="1:7" x14ac:dyDescent="0.25">
      <c r="A59" s="21">
        <v>45227</v>
      </c>
      <c r="B59" t="s">
        <v>272</v>
      </c>
      <c r="C59" s="22">
        <v>228</v>
      </c>
      <c r="D59" s="23">
        <v>54000</v>
      </c>
      <c r="E59" s="23">
        <f t="shared" si="1"/>
        <v>12312000</v>
      </c>
      <c r="F59" s="26">
        <v>45237</v>
      </c>
      <c r="G59" s="27">
        <v>3400000</v>
      </c>
    </row>
    <row r="60" spans="1:7" x14ac:dyDescent="0.25">
      <c r="A60" s="21">
        <v>45228</v>
      </c>
      <c r="B60" t="s">
        <v>272</v>
      </c>
      <c r="C60" s="22">
        <v>54</v>
      </c>
      <c r="D60" s="23">
        <v>54000</v>
      </c>
      <c r="E60" s="23">
        <f t="shared" si="1"/>
        <v>2916000</v>
      </c>
      <c r="F60" s="26">
        <v>45238</v>
      </c>
      <c r="G60" s="27">
        <v>120000</v>
      </c>
    </row>
    <row r="61" spans="1:7" x14ac:dyDescent="0.25">
      <c r="A61" s="21">
        <v>45232</v>
      </c>
      <c r="B61" t="s">
        <v>272</v>
      </c>
      <c r="C61" s="22">
        <v>162</v>
      </c>
      <c r="D61" s="23">
        <v>54000</v>
      </c>
      <c r="E61" s="23">
        <f t="shared" si="1"/>
        <v>8748000</v>
      </c>
      <c r="F61" s="26">
        <v>45239</v>
      </c>
      <c r="G61" s="27">
        <v>7900000</v>
      </c>
    </row>
    <row r="62" spans="1:7" x14ac:dyDescent="0.25">
      <c r="A62" s="21">
        <v>45233</v>
      </c>
      <c r="B62" t="s">
        <v>275</v>
      </c>
      <c r="C62" s="22">
        <v>100</v>
      </c>
      <c r="D62" s="23">
        <v>78000</v>
      </c>
      <c r="E62" s="23">
        <f t="shared" si="1"/>
        <v>7800000</v>
      </c>
      <c r="F62" s="26">
        <v>45240</v>
      </c>
      <c r="G62" s="27">
        <f>2100000+24000000</f>
        <v>26100000</v>
      </c>
    </row>
    <row r="63" spans="1:7" x14ac:dyDescent="0.25">
      <c r="A63" s="21">
        <v>45235</v>
      </c>
      <c r="B63" t="s">
        <v>276</v>
      </c>
      <c r="C63" s="22">
        <v>42</v>
      </c>
      <c r="D63" s="23">
        <v>63000</v>
      </c>
      <c r="E63" s="23">
        <f t="shared" si="1"/>
        <v>2646000</v>
      </c>
      <c r="F63" s="85">
        <v>45241</v>
      </c>
      <c r="G63" s="86">
        <v>2000000</v>
      </c>
    </row>
    <row r="64" spans="1:7" x14ac:dyDescent="0.25">
      <c r="A64" s="43">
        <v>45237</v>
      </c>
      <c r="B64" t="s">
        <v>272</v>
      </c>
      <c r="C64" s="22">
        <v>40</v>
      </c>
      <c r="D64" s="20">
        <v>54000</v>
      </c>
      <c r="E64" s="67">
        <f t="shared" si="1"/>
        <v>2160000</v>
      </c>
      <c r="F64" s="45">
        <v>45242</v>
      </c>
      <c r="G64" s="17">
        <v>2150000</v>
      </c>
    </row>
    <row r="65" spans="1:7" x14ac:dyDescent="0.25">
      <c r="A65" s="21">
        <v>45238</v>
      </c>
      <c r="B65" t="s">
        <v>275</v>
      </c>
      <c r="C65" s="22">
        <v>20</v>
      </c>
      <c r="D65" s="23">
        <v>78000</v>
      </c>
      <c r="E65" s="23">
        <f t="shared" si="1"/>
        <v>1560000</v>
      </c>
      <c r="F65" s="26">
        <v>45244</v>
      </c>
      <c r="G65" s="27">
        <v>755000</v>
      </c>
    </row>
    <row r="66" spans="1:7" x14ac:dyDescent="0.25">
      <c r="A66" s="21">
        <v>45239</v>
      </c>
      <c r="B66" t="s">
        <v>272</v>
      </c>
      <c r="C66" s="22">
        <v>182</v>
      </c>
      <c r="D66" s="23">
        <v>54000</v>
      </c>
      <c r="E66" s="23">
        <f t="shared" si="1"/>
        <v>9828000</v>
      </c>
      <c r="F66" s="26">
        <v>45245</v>
      </c>
      <c r="G66" s="27">
        <v>1550000</v>
      </c>
    </row>
    <row r="67" spans="1:7" x14ac:dyDescent="0.25">
      <c r="A67" s="43">
        <v>45240</v>
      </c>
      <c r="B67" t="s">
        <v>272</v>
      </c>
      <c r="C67" s="22">
        <v>36</v>
      </c>
      <c r="D67" s="20">
        <v>54000</v>
      </c>
      <c r="E67" s="20">
        <f t="shared" si="1"/>
        <v>1944000</v>
      </c>
      <c r="F67" s="26">
        <v>45246</v>
      </c>
      <c r="G67" s="27">
        <v>8705000</v>
      </c>
    </row>
    <row r="68" spans="1:7" x14ac:dyDescent="0.25">
      <c r="A68" s="21">
        <v>45241</v>
      </c>
      <c r="B68" t="s">
        <v>272</v>
      </c>
      <c r="C68" s="22">
        <v>234</v>
      </c>
      <c r="D68" s="23">
        <v>54000</v>
      </c>
      <c r="E68" s="23">
        <f t="shared" ref="E68:E99" si="2">C68*D68</f>
        <v>12636000</v>
      </c>
      <c r="F68" s="26">
        <v>45247</v>
      </c>
      <c r="G68" s="27">
        <v>4120000</v>
      </c>
    </row>
    <row r="69" spans="1:7" x14ac:dyDescent="0.25">
      <c r="A69" s="21">
        <v>45241</v>
      </c>
      <c r="B69" t="s">
        <v>276</v>
      </c>
      <c r="C69" s="22">
        <v>6</v>
      </c>
      <c r="D69" s="23">
        <v>63000</v>
      </c>
      <c r="E69" s="23">
        <f t="shared" si="2"/>
        <v>378000</v>
      </c>
      <c r="F69" s="26">
        <v>45248</v>
      </c>
      <c r="G69" s="27">
        <v>1120000</v>
      </c>
    </row>
    <row r="70" spans="1:7" x14ac:dyDescent="0.25">
      <c r="A70" s="21">
        <v>45242</v>
      </c>
      <c r="B70" t="s">
        <v>275</v>
      </c>
      <c r="C70" s="22">
        <v>100</v>
      </c>
      <c r="D70" s="23">
        <v>78000</v>
      </c>
      <c r="E70" s="23">
        <f t="shared" si="2"/>
        <v>7800000</v>
      </c>
      <c r="F70" s="26">
        <v>45249</v>
      </c>
      <c r="G70" s="27">
        <v>440000</v>
      </c>
    </row>
    <row r="71" spans="1:7" x14ac:dyDescent="0.25">
      <c r="A71" s="21">
        <v>45245</v>
      </c>
      <c r="B71" t="s">
        <v>277</v>
      </c>
      <c r="C71" s="22">
        <v>100</v>
      </c>
      <c r="D71" s="23">
        <v>55000</v>
      </c>
      <c r="E71" s="23">
        <f t="shared" si="2"/>
        <v>5500000</v>
      </c>
      <c r="F71" s="26">
        <v>45251</v>
      </c>
      <c r="G71" s="27">
        <v>1200000</v>
      </c>
    </row>
    <row r="72" spans="1:7" x14ac:dyDescent="0.25">
      <c r="A72" s="82">
        <v>45246</v>
      </c>
      <c r="B72" s="50" t="s">
        <v>277</v>
      </c>
      <c r="C72" s="83">
        <v>108</v>
      </c>
      <c r="D72" s="84">
        <v>55000</v>
      </c>
      <c r="E72" s="84">
        <f t="shared" si="2"/>
        <v>5940000</v>
      </c>
      <c r="F72" s="45">
        <v>45252</v>
      </c>
      <c r="G72" s="25">
        <v>1500000</v>
      </c>
    </row>
    <row r="73" spans="1:7" x14ac:dyDescent="0.25">
      <c r="A73" s="21">
        <v>45247</v>
      </c>
      <c r="B73" t="s">
        <v>272</v>
      </c>
      <c r="C73" s="22">
        <v>122</v>
      </c>
      <c r="D73" s="23">
        <v>54000</v>
      </c>
      <c r="E73" s="23">
        <f t="shared" si="2"/>
        <v>6588000</v>
      </c>
      <c r="F73" s="26">
        <v>45253</v>
      </c>
      <c r="G73" s="27">
        <v>3200000</v>
      </c>
    </row>
    <row r="74" spans="1:7" x14ac:dyDescent="0.25">
      <c r="A74" s="43">
        <v>45249</v>
      </c>
      <c r="B74" t="s">
        <v>277</v>
      </c>
      <c r="C74" s="22">
        <v>202</v>
      </c>
      <c r="D74" s="20">
        <v>55000</v>
      </c>
      <c r="E74" s="20">
        <f t="shared" si="2"/>
        <v>11110000</v>
      </c>
      <c r="F74" s="26">
        <v>45254</v>
      </c>
      <c r="G74" s="27">
        <v>1500000</v>
      </c>
    </row>
    <row r="75" spans="1:7" x14ac:dyDescent="0.25">
      <c r="A75" s="21">
        <v>45253</v>
      </c>
      <c r="B75" t="s">
        <v>278</v>
      </c>
      <c r="C75" s="22">
        <v>88</v>
      </c>
      <c r="D75" s="23">
        <v>72000</v>
      </c>
      <c r="E75" s="23">
        <f t="shared" si="2"/>
        <v>6336000</v>
      </c>
      <c r="F75" s="26">
        <v>45255</v>
      </c>
      <c r="G75" s="27">
        <v>1600000</v>
      </c>
    </row>
    <row r="76" spans="1:7" x14ac:dyDescent="0.25">
      <c r="A76" s="21">
        <v>45258</v>
      </c>
      <c r="B76" t="s">
        <v>278</v>
      </c>
      <c r="C76" s="22">
        <v>96</v>
      </c>
      <c r="D76" s="23">
        <v>72000</v>
      </c>
      <c r="E76" s="23">
        <f t="shared" si="2"/>
        <v>6912000</v>
      </c>
      <c r="F76" s="26">
        <v>45256</v>
      </c>
      <c r="G76" s="27">
        <v>3066000</v>
      </c>
    </row>
    <row r="77" spans="1:7" x14ac:dyDescent="0.25">
      <c r="A77" s="21">
        <v>45259</v>
      </c>
      <c r="B77" t="s">
        <v>272</v>
      </c>
      <c r="C77" s="22">
        <v>130</v>
      </c>
      <c r="D77" s="23">
        <v>54000</v>
      </c>
      <c r="E77" s="23">
        <f t="shared" si="2"/>
        <v>7020000</v>
      </c>
      <c r="F77" s="26">
        <v>45258</v>
      </c>
      <c r="G77" s="27">
        <v>16800000</v>
      </c>
    </row>
    <row r="78" spans="1:7" x14ac:dyDescent="0.25">
      <c r="A78" s="21">
        <v>45260</v>
      </c>
      <c r="B78" t="s">
        <v>278</v>
      </c>
      <c r="C78" s="22">
        <v>132</v>
      </c>
      <c r="D78" s="23">
        <v>72000</v>
      </c>
      <c r="E78" s="23">
        <f t="shared" si="2"/>
        <v>9504000</v>
      </c>
      <c r="F78" s="26">
        <v>45259</v>
      </c>
      <c r="G78" s="27">
        <v>300000</v>
      </c>
    </row>
    <row r="79" spans="1:7" x14ac:dyDescent="0.25">
      <c r="A79" s="43">
        <v>45272</v>
      </c>
      <c r="B79" t="s">
        <v>278</v>
      </c>
      <c r="C79" s="22">
        <v>148</v>
      </c>
      <c r="D79" s="20">
        <v>72000</v>
      </c>
      <c r="E79" s="20">
        <f t="shared" si="2"/>
        <v>10656000</v>
      </c>
      <c r="F79" s="26">
        <v>45260</v>
      </c>
      <c r="G79" s="27">
        <v>2880000</v>
      </c>
    </row>
    <row r="80" spans="1:7" x14ac:dyDescent="0.25">
      <c r="A80" s="21">
        <v>45275</v>
      </c>
      <c r="B80" t="s">
        <v>278</v>
      </c>
      <c r="C80" s="22">
        <v>84</v>
      </c>
      <c r="D80" s="23">
        <v>72000</v>
      </c>
      <c r="E80" s="23">
        <f t="shared" si="2"/>
        <v>6048000</v>
      </c>
      <c r="F80" s="45">
        <v>45261</v>
      </c>
      <c r="G80" s="25">
        <v>3630000</v>
      </c>
    </row>
    <row r="81" spans="1:7" x14ac:dyDescent="0.25">
      <c r="A81" s="21">
        <v>45276</v>
      </c>
      <c r="B81" t="s">
        <v>279</v>
      </c>
      <c r="C81" s="22">
        <v>126</v>
      </c>
      <c r="D81" s="23">
        <v>52000</v>
      </c>
      <c r="E81" s="23">
        <f t="shared" si="2"/>
        <v>6552000</v>
      </c>
      <c r="F81" s="26">
        <v>45262</v>
      </c>
      <c r="G81" s="17">
        <v>9650000</v>
      </c>
    </row>
    <row r="82" spans="1:7" x14ac:dyDescent="0.25">
      <c r="A82" s="21">
        <v>45277</v>
      </c>
      <c r="B82" t="s">
        <v>280</v>
      </c>
      <c r="C82" s="22">
        <v>100</v>
      </c>
      <c r="D82" s="23">
        <v>67000</v>
      </c>
      <c r="E82" s="23">
        <f t="shared" si="2"/>
        <v>6700000</v>
      </c>
      <c r="F82" s="26">
        <v>45263</v>
      </c>
      <c r="G82" s="17">
        <v>1565000</v>
      </c>
    </row>
    <row r="83" spans="1:7" x14ac:dyDescent="0.25">
      <c r="A83" s="21">
        <v>45277</v>
      </c>
      <c r="B83" t="s">
        <v>278</v>
      </c>
      <c r="C83" s="22">
        <v>90</v>
      </c>
      <c r="D83" s="23">
        <v>72000</v>
      </c>
      <c r="E83" s="23">
        <f t="shared" si="2"/>
        <v>6480000</v>
      </c>
      <c r="F83" s="45">
        <v>45265</v>
      </c>
      <c r="G83" s="17">
        <v>700000</v>
      </c>
    </row>
    <row r="84" spans="1:7" x14ac:dyDescent="0.25">
      <c r="A84" s="21">
        <v>45277</v>
      </c>
      <c r="B84" t="s">
        <v>281</v>
      </c>
      <c r="C84" s="22">
        <v>36</v>
      </c>
      <c r="D84" s="23">
        <v>63000</v>
      </c>
      <c r="E84" s="23">
        <f t="shared" si="2"/>
        <v>2268000</v>
      </c>
      <c r="F84" s="45">
        <v>45266</v>
      </c>
      <c r="G84" s="17">
        <v>1370000</v>
      </c>
    </row>
    <row r="85" spans="1:7" x14ac:dyDescent="0.25">
      <c r="A85" s="21">
        <v>45281</v>
      </c>
      <c r="B85" t="s">
        <v>282</v>
      </c>
      <c r="C85" s="22">
        <v>70</v>
      </c>
      <c r="D85" s="23">
        <v>52000</v>
      </c>
      <c r="E85" s="23">
        <f t="shared" si="2"/>
        <v>3640000</v>
      </c>
      <c r="F85" s="45">
        <v>45267</v>
      </c>
      <c r="G85" s="17">
        <v>310000</v>
      </c>
    </row>
    <row r="86" spans="1:7" x14ac:dyDescent="0.25">
      <c r="A86" s="21">
        <v>45281</v>
      </c>
      <c r="B86" t="s">
        <v>280</v>
      </c>
      <c r="C86" s="22">
        <v>100</v>
      </c>
      <c r="D86" s="23">
        <v>67000</v>
      </c>
      <c r="E86" s="23">
        <f t="shared" si="2"/>
        <v>6700000</v>
      </c>
      <c r="F86" s="45">
        <v>45268</v>
      </c>
      <c r="G86" s="17">
        <v>320000</v>
      </c>
    </row>
    <row r="87" spans="1:7" x14ac:dyDescent="0.25">
      <c r="A87" s="21">
        <v>45286</v>
      </c>
      <c r="B87" t="s">
        <v>280</v>
      </c>
      <c r="C87" s="22">
        <v>116</v>
      </c>
      <c r="D87" s="23">
        <v>67000</v>
      </c>
      <c r="E87" s="23">
        <f t="shared" si="2"/>
        <v>7772000</v>
      </c>
      <c r="F87" s="45">
        <v>45269</v>
      </c>
      <c r="G87" s="17">
        <v>330000</v>
      </c>
    </row>
    <row r="88" spans="1:7" x14ac:dyDescent="0.25">
      <c r="A88" s="21">
        <v>45286</v>
      </c>
      <c r="B88" t="s">
        <v>281</v>
      </c>
      <c r="C88" s="22">
        <v>18</v>
      </c>
      <c r="D88" s="23">
        <v>63000</v>
      </c>
      <c r="E88" s="23">
        <f t="shared" si="2"/>
        <v>1134000</v>
      </c>
      <c r="F88" s="45">
        <v>45270</v>
      </c>
      <c r="G88" s="17">
        <v>1146000</v>
      </c>
    </row>
    <row r="89" spans="1:7" x14ac:dyDescent="0.25">
      <c r="A89" s="21">
        <v>45288</v>
      </c>
      <c r="B89" t="s">
        <v>283</v>
      </c>
      <c r="C89" s="22">
        <v>375</v>
      </c>
      <c r="D89" s="23">
        <v>38000</v>
      </c>
      <c r="E89" s="23">
        <f t="shared" si="2"/>
        <v>14250000</v>
      </c>
      <c r="F89" s="45">
        <v>45272</v>
      </c>
      <c r="G89" s="17">
        <v>2300000</v>
      </c>
    </row>
    <row r="90" spans="1:7" x14ac:dyDescent="0.25">
      <c r="A90" s="43">
        <v>45290</v>
      </c>
      <c r="B90" s="1" t="s">
        <v>283</v>
      </c>
      <c r="C90" s="98">
        <v>215</v>
      </c>
      <c r="D90" s="67">
        <v>38000</v>
      </c>
      <c r="E90" s="67">
        <f t="shared" si="2"/>
        <v>8170000</v>
      </c>
      <c r="F90" s="45">
        <v>45273</v>
      </c>
      <c r="G90" s="17">
        <v>4350000</v>
      </c>
    </row>
    <row r="91" spans="1:7" x14ac:dyDescent="0.25">
      <c r="A91" s="21">
        <v>45290</v>
      </c>
      <c r="B91" s="1" t="s">
        <v>280</v>
      </c>
      <c r="C91" s="96">
        <v>116</v>
      </c>
      <c r="D91" s="67">
        <v>67000</v>
      </c>
      <c r="E91" s="67">
        <f t="shared" si="2"/>
        <v>7772000</v>
      </c>
      <c r="F91" s="45">
        <v>45274</v>
      </c>
      <c r="G91" s="17">
        <v>1450000</v>
      </c>
    </row>
    <row r="92" spans="1:7" x14ac:dyDescent="0.25">
      <c r="A92" s="21"/>
      <c r="B92" s="1"/>
      <c r="C92" s="96"/>
      <c r="D92" s="67"/>
      <c r="E92" s="67">
        <f t="shared" si="2"/>
        <v>0</v>
      </c>
      <c r="F92" s="45">
        <v>45275</v>
      </c>
      <c r="G92" s="17">
        <f>300000+834000</f>
        <v>1134000</v>
      </c>
    </row>
    <row r="93" spans="1:7" x14ac:dyDescent="0.25">
      <c r="A93" s="21"/>
      <c r="B93" s="1"/>
      <c r="C93" s="96"/>
      <c r="D93" s="67"/>
      <c r="E93" s="67">
        <f t="shared" si="2"/>
        <v>0</v>
      </c>
      <c r="F93" s="45">
        <v>45276</v>
      </c>
      <c r="G93" s="17">
        <f>4500000+512000</f>
        <v>5012000</v>
      </c>
    </row>
    <row r="94" spans="1:7" x14ac:dyDescent="0.25">
      <c r="A94" s="21"/>
      <c r="B94" s="1"/>
      <c r="C94" s="96"/>
      <c r="D94" s="67"/>
      <c r="E94" s="67">
        <f t="shared" si="2"/>
        <v>0</v>
      </c>
      <c r="F94" s="45">
        <v>45277</v>
      </c>
      <c r="G94" s="17">
        <v>5000000</v>
      </c>
    </row>
    <row r="95" spans="1:7" x14ac:dyDescent="0.25">
      <c r="A95" s="21"/>
      <c r="B95" s="1"/>
      <c r="C95" s="96"/>
      <c r="D95" s="67"/>
      <c r="E95" s="67">
        <f t="shared" si="2"/>
        <v>0</v>
      </c>
      <c r="F95" s="45">
        <v>45279</v>
      </c>
      <c r="G95" s="17">
        <v>5190000</v>
      </c>
    </row>
    <row r="96" spans="1:7" x14ac:dyDescent="0.25">
      <c r="A96" s="21"/>
      <c r="B96" s="1"/>
      <c r="C96" s="96"/>
      <c r="D96" s="67"/>
      <c r="E96" s="67">
        <f t="shared" si="2"/>
        <v>0</v>
      </c>
      <c r="F96" s="45">
        <v>45280</v>
      </c>
      <c r="G96" s="17">
        <f>1040000+3450000</f>
        <v>4490000</v>
      </c>
    </row>
    <row r="97" spans="1:7" x14ac:dyDescent="0.25">
      <c r="A97" s="21"/>
      <c r="B97" s="1"/>
      <c r="C97" s="96"/>
      <c r="D97" s="67"/>
      <c r="E97" s="67">
        <f t="shared" si="2"/>
        <v>0</v>
      </c>
      <c r="F97" s="45">
        <v>45281</v>
      </c>
      <c r="G97" s="17">
        <v>3250000</v>
      </c>
    </row>
    <row r="98" spans="1:7" x14ac:dyDescent="0.25">
      <c r="A98" s="21"/>
      <c r="B98" s="1"/>
      <c r="C98" s="96"/>
      <c r="D98" s="67"/>
      <c r="E98" s="67">
        <f t="shared" si="2"/>
        <v>0</v>
      </c>
      <c r="F98" s="45">
        <v>45282</v>
      </c>
      <c r="G98" s="17">
        <v>1000000</v>
      </c>
    </row>
    <row r="99" spans="1:7" x14ac:dyDescent="0.25">
      <c r="A99" s="21"/>
      <c r="B99" s="1"/>
      <c r="C99" s="96"/>
      <c r="D99" s="67"/>
      <c r="E99" s="67">
        <f t="shared" si="2"/>
        <v>0</v>
      </c>
      <c r="F99" s="45">
        <v>45283</v>
      </c>
      <c r="G99" s="17">
        <v>7800000</v>
      </c>
    </row>
    <row r="100" spans="1:7" x14ac:dyDescent="0.25">
      <c r="A100" s="21"/>
      <c r="D100" s="23"/>
      <c r="E100" s="23">
        <f t="shared" ref="E100:E131" si="3">C100*D100</f>
        <v>0</v>
      </c>
      <c r="F100" s="45">
        <v>45284</v>
      </c>
      <c r="G100" s="17">
        <v>5170000</v>
      </c>
    </row>
    <row r="101" spans="1:7" x14ac:dyDescent="0.25">
      <c r="A101" s="21"/>
      <c r="D101" s="23"/>
      <c r="E101" s="23">
        <f t="shared" si="3"/>
        <v>0</v>
      </c>
      <c r="F101" s="45">
        <v>45286</v>
      </c>
      <c r="G101" s="17">
        <v>1000000</v>
      </c>
    </row>
    <row r="102" spans="1:7" x14ac:dyDescent="0.25">
      <c r="A102" s="21"/>
      <c r="D102" s="23"/>
      <c r="E102" s="23">
        <f t="shared" si="3"/>
        <v>0</v>
      </c>
      <c r="F102" s="45">
        <v>45287</v>
      </c>
      <c r="G102" s="17">
        <v>6400000</v>
      </c>
    </row>
    <row r="103" spans="1:7" x14ac:dyDescent="0.25">
      <c r="A103" s="43"/>
      <c r="E103" s="20">
        <f t="shared" si="3"/>
        <v>0</v>
      </c>
      <c r="F103" s="45">
        <v>45288</v>
      </c>
      <c r="G103" s="17">
        <f>10260000+5820000</f>
        <v>16080000</v>
      </c>
    </row>
    <row r="104" spans="1:7" x14ac:dyDescent="0.25">
      <c r="A104" s="21"/>
      <c r="D104" s="23"/>
      <c r="E104" s="23">
        <f t="shared" si="3"/>
        <v>0</v>
      </c>
      <c r="F104" s="45">
        <v>45289</v>
      </c>
      <c r="G104" s="17">
        <v>2140000</v>
      </c>
    </row>
    <row r="105" spans="1:7" x14ac:dyDescent="0.25">
      <c r="A105" s="21"/>
      <c r="D105" s="23"/>
      <c r="E105" s="23">
        <f t="shared" si="3"/>
        <v>0</v>
      </c>
      <c r="F105" s="45">
        <v>45290</v>
      </c>
      <c r="G105" s="17">
        <v>4254000</v>
      </c>
    </row>
    <row r="106" spans="1:7" x14ac:dyDescent="0.25">
      <c r="A106" s="21"/>
      <c r="D106" s="23"/>
      <c r="E106" s="23">
        <f t="shared" si="3"/>
        <v>0</v>
      </c>
      <c r="F106" s="45">
        <v>45657</v>
      </c>
      <c r="G106" s="17">
        <v>680000</v>
      </c>
    </row>
    <row r="107" spans="1:7" x14ac:dyDescent="0.25">
      <c r="A107" s="21"/>
      <c r="D107" s="23"/>
      <c r="E107" s="23">
        <f t="shared" si="3"/>
        <v>0</v>
      </c>
    </row>
    <row r="108" spans="1:7" x14ac:dyDescent="0.25">
      <c r="A108" s="21"/>
      <c r="D108" s="23"/>
      <c r="E108" s="23">
        <f t="shared" si="3"/>
        <v>0</v>
      </c>
    </row>
    <row r="109" spans="1:7" x14ac:dyDescent="0.25">
      <c r="A109" s="21"/>
      <c r="D109" s="23"/>
      <c r="E109" s="23">
        <f t="shared" si="3"/>
        <v>0</v>
      </c>
    </row>
    <row r="110" spans="1:7" x14ac:dyDescent="0.25">
      <c r="A110" s="21"/>
      <c r="D110" s="23"/>
      <c r="E110" s="23">
        <f t="shared" si="3"/>
        <v>0</v>
      </c>
    </row>
    <row r="111" spans="1:7" x14ac:dyDescent="0.25">
      <c r="A111" s="21"/>
      <c r="D111" s="23"/>
      <c r="E111" s="23">
        <f t="shared" si="3"/>
        <v>0</v>
      </c>
    </row>
    <row r="112" spans="1:7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530678000</v>
      </c>
      <c r="G199" s="27">
        <f>SUM(G3:G198)</f>
        <v>495683000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C212-72DA-FD42-ADE4-18D0AFC4BC65}">
  <dimension ref="A1:K200"/>
  <sheetViews>
    <sheetView zoomScaleNormal="100" zoomScaleSheetLayoutView="100" workbookViewId="0">
      <selection activeCell="I3" sqref="I3:J3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'2023 июл'!I3</f>
        <v>37556000</v>
      </c>
      <c r="F3" s="26">
        <v>45139</v>
      </c>
      <c r="G3" s="27">
        <v>4750000</v>
      </c>
      <c r="I3" s="110">
        <f>E199-G199</f>
        <v>15112000</v>
      </c>
      <c r="J3" s="111"/>
    </row>
    <row r="4" spans="1:11" x14ac:dyDescent="0.25">
      <c r="A4" s="21">
        <v>45140</v>
      </c>
      <c r="B4" t="s">
        <v>156</v>
      </c>
      <c r="C4" s="22">
        <v>48</v>
      </c>
      <c r="D4" s="23">
        <v>50000</v>
      </c>
      <c r="E4" s="23">
        <f t="shared" ref="E4:E35" si="0">C4*D4</f>
        <v>2400000</v>
      </c>
      <c r="F4" s="26">
        <v>45140</v>
      </c>
      <c r="G4" s="27">
        <v>1600000</v>
      </c>
      <c r="I4" s="89" t="s">
        <v>132</v>
      </c>
      <c r="J4" s="90">
        <v>11550</v>
      </c>
    </row>
    <row r="5" spans="1:11" ht="15.75" thickBot="1" x14ac:dyDescent="0.3">
      <c r="A5" s="21">
        <v>45141</v>
      </c>
      <c r="B5" t="s">
        <v>258</v>
      </c>
      <c r="C5" s="22">
        <v>92</v>
      </c>
      <c r="D5" s="23">
        <v>46000</v>
      </c>
      <c r="E5" s="67">
        <f t="shared" si="0"/>
        <v>4232000</v>
      </c>
      <c r="F5" s="26">
        <v>45141</v>
      </c>
      <c r="G5" s="27">
        <v>8500000</v>
      </c>
      <c r="I5" s="112">
        <f>I3/J4</f>
        <v>1308.3982683982683</v>
      </c>
      <c r="J5" s="113"/>
    </row>
    <row r="6" spans="1:11" ht="15.75" thickBot="1" x14ac:dyDescent="0.3">
      <c r="A6" s="21">
        <v>45141</v>
      </c>
      <c r="B6" t="s">
        <v>250</v>
      </c>
      <c r="C6" s="22">
        <v>22</v>
      </c>
      <c r="D6" s="23">
        <v>39000</v>
      </c>
      <c r="E6" s="23">
        <f t="shared" si="0"/>
        <v>858000</v>
      </c>
      <c r="F6" s="26">
        <v>45142</v>
      </c>
      <c r="G6" s="27">
        <v>1760000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45142</v>
      </c>
      <c r="B7" t="s">
        <v>156</v>
      </c>
      <c r="C7" s="22">
        <v>80</v>
      </c>
      <c r="D7" s="23">
        <v>50000</v>
      </c>
      <c r="E7" s="23">
        <f t="shared" si="0"/>
        <v>4000000</v>
      </c>
      <c r="F7" s="26">
        <v>45143</v>
      </c>
      <c r="G7" s="27">
        <v>4200000</v>
      </c>
    </row>
    <row r="8" spans="1:11" ht="15.75" thickBot="1" x14ac:dyDescent="0.3">
      <c r="A8" s="21">
        <v>45142</v>
      </c>
      <c r="B8" t="s">
        <v>253</v>
      </c>
      <c r="C8" s="22">
        <v>20</v>
      </c>
      <c r="D8" s="23">
        <v>40000</v>
      </c>
      <c r="E8" s="23">
        <f t="shared" si="0"/>
        <v>800000</v>
      </c>
      <c r="F8" s="26">
        <v>45144</v>
      </c>
      <c r="G8" s="27">
        <v>2944000</v>
      </c>
      <c r="I8" s="29" t="s">
        <v>15</v>
      </c>
      <c r="J8" s="30">
        <f>I3-J6</f>
        <v>-20264000</v>
      </c>
    </row>
    <row r="9" spans="1:11" x14ac:dyDescent="0.25">
      <c r="A9" s="21">
        <v>45143</v>
      </c>
      <c r="B9" t="s">
        <v>156</v>
      </c>
      <c r="C9" s="22">
        <v>52</v>
      </c>
      <c r="D9" s="23">
        <v>50000</v>
      </c>
      <c r="E9" s="23">
        <f t="shared" si="0"/>
        <v>2600000</v>
      </c>
      <c r="F9" s="26">
        <v>45146</v>
      </c>
      <c r="G9" s="27">
        <v>1000000</v>
      </c>
    </row>
    <row r="10" spans="1:11" ht="15.75" thickBot="1" x14ac:dyDescent="0.3">
      <c r="A10" s="43">
        <v>45144</v>
      </c>
      <c r="B10" t="s">
        <v>156</v>
      </c>
      <c r="C10" s="22">
        <v>64</v>
      </c>
      <c r="D10" s="20">
        <v>50000</v>
      </c>
      <c r="E10" s="20">
        <f t="shared" si="0"/>
        <v>3200000</v>
      </c>
      <c r="F10" s="26">
        <v>45147</v>
      </c>
      <c r="G10" s="27">
        <v>4350000</v>
      </c>
    </row>
    <row r="11" spans="1:11" ht="15.75" thickBot="1" x14ac:dyDescent="0.3">
      <c r="A11" s="21">
        <v>45146</v>
      </c>
      <c r="B11" t="s">
        <v>156</v>
      </c>
      <c r="C11" s="22">
        <v>60</v>
      </c>
      <c r="D11" s="23">
        <v>50000</v>
      </c>
      <c r="E11" s="23">
        <f t="shared" si="0"/>
        <v>3000000</v>
      </c>
      <c r="F11" s="26">
        <v>45148</v>
      </c>
      <c r="G11" s="27">
        <v>3700000</v>
      </c>
      <c r="I11" s="54" t="s">
        <v>66</v>
      </c>
      <c r="J11" s="55"/>
    </row>
    <row r="12" spans="1:11" x14ac:dyDescent="0.25">
      <c r="A12" s="21">
        <v>45147</v>
      </c>
      <c r="B12" t="s">
        <v>252</v>
      </c>
      <c r="C12" s="22">
        <v>80</v>
      </c>
      <c r="D12" s="23">
        <v>46000</v>
      </c>
      <c r="E12" s="23">
        <f t="shared" si="0"/>
        <v>3680000</v>
      </c>
      <c r="F12" s="26">
        <v>45149</v>
      </c>
      <c r="G12" s="27">
        <v>400000</v>
      </c>
    </row>
    <row r="13" spans="1:11" x14ac:dyDescent="0.25">
      <c r="A13" s="21">
        <v>45151</v>
      </c>
      <c r="B13" t="s">
        <v>253</v>
      </c>
      <c r="C13" s="22">
        <v>10</v>
      </c>
      <c r="D13" s="23">
        <v>40000</v>
      </c>
      <c r="E13" s="23">
        <f t="shared" si="0"/>
        <v>400000</v>
      </c>
      <c r="F13" s="26">
        <v>45150</v>
      </c>
      <c r="G13" s="27">
        <v>2250000</v>
      </c>
    </row>
    <row r="14" spans="1:11" ht="15.75" thickBot="1" x14ac:dyDescent="0.3">
      <c r="A14" s="21">
        <v>45153</v>
      </c>
      <c r="B14" t="s">
        <v>259</v>
      </c>
      <c r="C14" s="22">
        <v>54</v>
      </c>
      <c r="D14" s="23">
        <v>39000</v>
      </c>
      <c r="E14" s="23">
        <f t="shared" si="0"/>
        <v>2106000</v>
      </c>
      <c r="F14" s="26">
        <v>45151</v>
      </c>
      <c r="G14" s="27">
        <v>900000</v>
      </c>
    </row>
    <row r="15" spans="1:11" x14ac:dyDescent="0.25">
      <c r="A15" s="21">
        <v>45153</v>
      </c>
      <c r="B15" t="s">
        <v>156</v>
      </c>
      <c r="C15" s="22">
        <v>118</v>
      </c>
      <c r="D15" s="23">
        <v>50000</v>
      </c>
      <c r="E15" s="23">
        <f t="shared" si="0"/>
        <v>5900000</v>
      </c>
      <c r="F15" s="26">
        <v>45153</v>
      </c>
      <c r="G15" s="27">
        <v>7600000</v>
      </c>
      <c r="I15" s="114"/>
      <c r="J15" s="115"/>
    </row>
    <row r="16" spans="1:11" ht="15.75" thickBot="1" x14ac:dyDescent="0.3">
      <c r="A16" s="21">
        <v>45154</v>
      </c>
      <c r="B16" t="s">
        <v>259</v>
      </c>
      <c r="C16" s="22">
        <v>4</v>
      </c>
      <c r="D16" s="23">
        <v>39000</v>
      </c>
      <c r="E16" s="23">
        <f t="shared" si="0"/>
        <v>156000</v>
      </c>
      <c r="F16" s="26">
        <v>45154</v>
      </c>
      <c r="G16" s="27">
        <v>2200000</v>
      </c>
      <c r="I16" s="80"/>
      <c r="J16" s="81"/>
    </row>
    <row r="17" spans="1:7" x14ac:dyDescent="0.25">
      <c r="A17" s="21">
        <v>45154</v>
      </c>
      <c r="B17" t="s">
        <v>156</v>
      </c>
      <c r="C17" s="22">
        <v>1</v>
      </c>
      <c r="D17" s="23">
        <v>50000</v>
      </c>
      <c r="E17" s="23">
        <f t="shared" si="0"/>
        <v>50000</v>
      </c>
      <c r="F17" s="26">
        <v>45155</v>
      </c>
      <c r="G17" s="27">
        <v>1130000</v>
      </c>
    </row>
    <row r="18" spans="1:7" x14ac:dyDescent="0.25">
      <c r="A18" s="21">
        <v>45158</v>
      </c>
      <c r="B18" t="s">
        <v>260</v>
      </c>
      <c r="C18" s="22">
        <v>56</v>
      </c>
      <c r="D18" s="23">
        <v>45000</v>
      </c>
      <c r="E18" s="23">
        <f t="shared" si="0"/>
        <v>2520000</v>
      </c>
      <c r="F18" s="26">
        <v>45156</v>
      </c>
      <c r="G18" s="27">
        <v>2250000</v>
      </c>
    </row>
    <row r="19" spans="1:7" x14ac:dyDescent="0.25">
      <c r="A19" s="21">
        <v>45160</v>
      </c>
      <c r="B19" t="s">
        <v>260</v>
      </c>
      <c r="C19" s="22">
        <v>110</v>
      </c>
      <c r="D19" s="23">
        <v>45000</v>
      </c>
      <c r="E19" s="23">
        <f t="shared" si="0"/>
        <v>4950000</v>
      </c>
      <c r="F19" s="45">
        <v>45157</v>
      </c>
      <c r="G19" s="17">
        <v>3250000</v>
      </c>
    </row>
    <row r="20" spans="1:7" x14ac:dyDescent="0.25">
      <c r="A20" s="43">
        <v>45160</v>
      </c>
      <c r="B20" t="s">
        <v>156</v>
      </c>
      <c r="C20" s="22">
        <v>48</v>
      </c>
      <c r="D20" s="20">
        <v>50000</v>
      </c>
      <c r="E20" s="96">
        <f t="shared" si="0"/>
        <v>2400000</v>
      </c>
      <c r="F20" s="26">
        <v>45158</v>
      </c>
      <c r="G20" s="27">
        <v>7750000</v>
      </c>
    </row>
    <row r="21" spans="1:7" x14ac:dyDescent="0.25">
      <c r="A21" s="21">
        <v>45161</v>
      </c>
      <c r="B21" t="s">
        <v>260</v>
      </c>
      <c r="C21" s="22">
        <v>100</v>
      </c>
      <c r="D21" s="23">
        <v>45000</v>
      </c>
      <c r="E21" s="23">
        <f t="shared" si="0"/>
        <v>4500000</v>
      </c>
      <c r="F21" s="26">
        <v>45160</v>
      </c>
      <c r="G21" s="27">
        <v>5900000</v>
      </c>
    </row>
    <row r="22" spans="1:7" x14ac:dyDescent="0.25">
      <c r="A22" s="21">
        <v>45163</v>
      </c>
      <c r="B22" t="s">
        <v>260</v>
      </c>
      <c r="C22" s="22">
        <v>16</v>
      </c>
      <c r="D22" s="23">
        <v>45000</v>
      </c>
      <c r="E22" s="23">
        <f t="shared" si="0"/>
        <v>720000</v>
      </c>
      <c r="F22" s="26">
        <v>45162</v>
      </c>
      <c r="G22" s="27">
        <v>2420000</v>
      </c>
    </row>
    <row r="23" spans="1:7" x14ac:dyDescent="0.25">
      <c r="A23" s="21">
        <v>45163</v>
      </c>
      <c r="B23" t="s">
        <v>156</v>
      </c>
      <c r="C23" s="22">
        <v>44</v>
      </c>
      <c r="D23" s="23">
        <v>50000</v>
      </c>
      <c r="E23" s="23">
        <f t="shared" si="0"/>
        <v>2200000</v>
      </c>
      <c r="F23" s="26">
        <v>45163</v>
      </c>
      <c r="G23" s="27">
        <v>4780000</v>
      </c>
    </row>
    <row r="24" spans="1:7" x14ac:dyDescent="0.25">
      <c r="A24" s="21">
        <v>45167</v>
      </c>
      <c r="B24" t="s">
        <v>260</v>
      </c>
      <c r="C24" s="22">
        <v>2</v>
      </c>
      <c r="D24" s="23">
        <v>45000</v>
      </c>
      <c r="E24" s="23">
        <f t="shared" si="0"/>
        <v>90000</v>
      </c>
      <c r="F24" s="26">
        <v>45164</v>
      </c>
      <c r="G24" s="27">
        <v>1600000</v>
      </c>
    </row>
    <row r="25" spans="1:7" x14ac:dyDescent="0.25">
      <c r="A25" s="21">
        <v>45167</v>
      </c>
      <c r="B25" t="s">
        <v>261</v>
      </c>
      <c r="C25" s="22">
        <v>38</v>
      </c>
      <c r="D25" s="23">
        <v>35000</v>
      </c>
      <c r="E25" s="23">
        <f t="shared" si="0"/>
        <v>1330000</v>
      </c>
      <c r="F25" s="26">
        <v>45165</v>
      </c>
      <c r="G25" s="27">
        <v>50000</v>
      </c>
    </row>
    <row r="26" spans="1:7" x14ac:dyDescent="0.25">
      <c r="A26" s="21">
        <v>45167</v>
      </c>
      <c r="B26" t="s">
        <v>262</v>
      </c>
      <c r="C26" s="22">
        <v>38</v>
      </c>
      <c r="D26" s="23">
        <v>35000</v>
      </c>
      <c r="E26" s="23">
        <f t="shared" si="0"/>
        <v>1330000</v>
      </c>
      <c r="F26" s="26">
        <v>45167</v>
      </c>
      <c r="G26" s="27">
        <v>4900000</v>
      </c>
    </row>
    <row r="27" spans="1:7" x14ac:dyDescent="0.25">
      <c r="A27" s="21">
        <v>45167</v>
      </c>
      <c r="B27" t="s">
        <v>263</v>
      </c>
      <c r="C27" s="22">
        <v>64</v>
      </c>
      <c r="D27" s="23">
        <v>36000</v>
      </c>
      <c r="E27" s="23">
        <f t="shared" si="0"/>
        <v>2304000</v>
      </c>
      <c r="F27" s="26">
        <v>45168</v>
      </c>
      <c r="G27" s="27">
        <v>2800000</v>
      </c>
    </row>
    <row r="28" spans="1:7" x14ac:dyDescent="0.25">
      <c r="A28" s="21">
        <v>45167</v>
      </c>
      <c r="B28" t="s">
        <v>264</v>
      </c>
      <c r="C28" s="22">
        <v>8</v>
      </c>
      <c r="D28" s="23">
        <v>38000</v>
      </c>
      <c r="E28" s="23">
        <f t="shared" si="0"/>
        <v>304000</v>
      </c>
      <c r="F28" s="45">
        <v>45169</v>
      </c>
      <c r="G28" s="17">
        <v>1950000</v>
      </c>
    </row>
    <row r="29" spans="1:7" x14ac:dyDescent="0.25">
      <c r="A29" s="21">
        <v>45167</v>
      </c>
      <c r="B29" t="s">
        <v>156</v>
      </c>
      <c r="C29" s="22">
        <v>104</v>
      </c>
      <c r="D29" s="23">
        <v>50000</v>
      </c>
      <c r="E29" s="23">
        <f t="shared" si="0"/>
        <v>5200000</v>
      </c>
      <c r="F29" s="26"/>
      <c r="G29" s="27"/>
    </row>
    <row r="30" spans="1:7" x14ac:dyDescent="0.25">
      <c r="A30" s="21">
        <v>45168</v>
      </c>
      <c r="B30" t="s">
        <v>260</v>
      </c>
      <c r="C30" s="22">
        <v>28</v>
      </c>
      <c r="D30" s="23">
        <v>45000</v>
      </c>
      <c r="E30" s="23">
        <f t="shared" si="0"/>
        <v>1260000</v>
      </c>
      <c r="F30" s="26"/>
      <c r="G30" s="27"/>
    </row>
    <row r="31" spans="1:7" x14ac:dyDescent="0.25">
      <c r="A31" s="21"/>
      <c r="D31" s="23"/>
      <c r="E31" s="23">
        <f t="shared" si="0"/>
        <v>0</v>
      </c>
      <c r="F31" s="26"/>
      <c r="G31" s="27"/>
    </row>
    <row r="32" spans="1:7" x14ac:dyDescent="0.25">
      <c r="A32" s="43"/>
      <c r="E32" s="44">
        <f t="shared" si="0"/>
        <v>0</v>
      </c>
      <c r="F32" s="26"/>
      <c r="G32" s="27"/>
    </row>
    <row r="33" spans="1:7" x14ac:dyDescent="0.25">
      <c r="A33" s="21"/>
      <c r="D33" s="23"/>
      <c r="E33" s="23">
        <f t="shared" si="0"/>
        <v>0</v>
      </c>
      <c r="F33" s="26"/>
      <c r="G33" s="27"/>
    </row>
    <row r="34" spans="1:7" x14ac:dyDescent="0.25">
      <c r="A34" s="21"/>
      <c r="D34" s="23"/>
      <c r="E34" s="23">
        <f t="shared" si="0"/>
        <v>0</v>
      </c>
      <c r="F34" s="26"/>
      <c r="G34" s="27"/>
    </row>
    <row r="35" spans="1:7" x14ac:dyDescent="0.25">
      <c r="A35" s="21"/>
      <c r="D35" s="23"/>
      <c r="E35" s="23">
        <f t="shared" si="0"/>
        <v>0</v>
      </c>
      <c r="F35" s="26"/>
      <c r="G35" s="27"/>
    </row>
    <row r="36" spans="1:7" x14ac:dyDescent="0.25">
      <c r="A36" s="21"/>
      <c r="D36" s="23"/>
      <c r="E36" s="23">
        <f t="shared" ref="E36:E67" si="1">C36*D36</f>
        <v>0</v>
      </c>
      <c r="F36" s="26"/>
      <c r="G36" s="27"/>
    </row>
    <row r="37" spans="1:7" x14ac:dyDescent="0.25">
      <c r="A37" s="21"/>
      <c r="D37" s="23"/>
      <c r="E37" s="23">
        <f t="shared" si="1"/>
        <v>0</v>
      </c>
      <c r="F37" s="26"/>
      <c r="G37" s="27"/>
    </row>
    <row r="38" spans="1:7" x14ac:dyDescent="0.25">
      <c r="A38" s="21"/>
      <c r="D38" s="23"/>
      <c r="E38" s="23">
        <f t="shared" si="1"/>
        <v>0</v>
      </c>
      <c r="F38" s="26"/>
      <c r="G38" s="27"/>
    </row>
    <row r="39" spans="1:7" x14ac:dyDescent="0.25">
      <c r="A39" s="21"/>
      <c r="D39" s="23"/>
      <c r="E39" s="23">
        <f t="shared" si="1"/>
        <v>0</v>
      </c>
      <c r="F39" s="26"/>
      <c r="G39" s="27"/>
    </row>
    <row r="40" spans="1:7" x14ac:dyDescent="0.25">
      <c r="A40" s="21"/>
      <c r="D40" s="23"/>
      <c r="E40" s="23">
        <f t="shared" si="1"/>
        <v>0</v>
      </c>
      <c r="F40" s="26"/>
      <c r="G40" s="27"/>
    </row>
    <row r="41" spans="1:7" x14ac:dyDescent="0.25">
      <c r="A41" s="21"/>
      <c r="D41" s="23"/>
      <c r="E41" s="23">
        <f t="shared" si="1"/>
        <v>0</v>
      </c>
      <c r="F41" s="45"/>
      <c r="G41" s="17"/>
    </row>
    <row r="42" spans="1:7" x14ac:dyDescent="0.25">
      <c r="A42" s="21"/>
      <c r="D42" s="23"/>
      <c r="E42" s="23">
        <f t="shared" si="1"/>
        <v>0</v>
      </c>
      <c r="F42" s="26"/>
      <c r="G42" s="27"/>
    </row>
    <row r="43" spans="1:7" x14ac:dyDescent="0.25">
      <c r="A43" s="21"/>
      <c r="D43" s="23"/>
      <c r="E43" s="23">
        <f t="shared" si="1"/>
        <v>0</v>
      </c>
      <c r="F43" s="26"/>
      <c r="G43" s="27"/>
    </row>
    <row r="44" spans="1:7" x14ac:dyDescent="0.25">
      <c r="A44" s="21"/>
      <c r="D44" s="23"/>
      <c r="E44" s="23">
        <f t="shared" si="1"/>
        <v>0</v>
      </c>
      <c r="F44" s="26"/>
      <c r="G44" s="27"/>
    </row>
    <row r="45" spans="1:7" x14ac:dyDescent="0.25">
      <c r="A45" s="21"/>
      <c r="D45" s="23"/>
      <c r="E45" s="23">
        <f t="shared" si="1"/>
        <v>0</v>
      </c>
      <c r="F45" s="85"/>
      <c r="G45" s="86"/>
    </row>
    <row r="46" spans="1:7" x14ac:dyDescent="0.25">
      <c r="A46" s="21"/>
      <c r="D46" s="23"/>
      <c r="E46" s="23">
        <f t="shared" si="1"/>
        <v>0</v>
      </c>
      <c r="F46" s="26"/>
      <c r="G46" s="27"/>
    </row>
    <row r="47" spans="1:7" x14ac:dyDescent="0.25">
      <c r="A47" s="21"/>
      <c r="D47" s="23"/>
      <c r="E47" s="23">
        <f t="shared" si="1"/>
        <v>0</v>
      </c>
      <c r="F47" s="26"/>
      <c r="G47" s="27"/>
    </row>
    <row r="48" spans="1:7" x14ac:dyDescent="0.25">
      <c r="A48" s="21"/>
      <c r="D48" s="23"/>
      <c r="E48" s="23">
        <f t="shared" si="1"/>
        <v>0</v>
      </c>
      <c r="F48" s="26"/>
      <c r="G48" s="27"/>
    </row>
    <row r="49" spans="1:7" x14ac:dyDescent="0.25">
      <c r="A49" s="21"/>
      <c r="D49" s="23"/>
      <c r="E49" s="23">
        <f t="shared" si="1"/>
        <v>0</v>
      </c>
      <c r="F49" s="45"/>
      <c r="G49" s="17"/>
    </row>
    <row r="50" spans="1:7" x14ac:dyDescent="0.25">
      <c r="A50" s="21"/>
      <c r="D50" s="23"/>
      <c r="E50" s="23">
        <f t="shared" si="1"/>
        <v>0</v>
      </c>
      <c r="F50" s="26"/>
      <c r="G50" s="27"/>
    </row>
    <row r="51" spans="1:7" x14ac:dyDescent="0.25">
      <c r="A51" s="21"/>
      <c r="D51" s="23"/>
      <c r="E51" s="23">
        <f t="shared" si="1"/>
        <v>0</v>
      </c>
      <c r="F51" s="85"/>
      <c r="G51" s="86"/>
    </row>
    <row r="52" spans="1:7" x14ac:dyDescent="0.25">
      <c r="A52" s="43"/>
      <c r="E52" s="23">
        <f t="shared" si="1"/>
        <v>0</v>
      </c>
      <c r="F52" s="26"/>
      <c r="G52" s="27"/>
    </row>
    <row r="53" spans="1:7" x14ac:dyDescent="0.25">
      <c r="A53" s="21"/>
      <c r="D53" s="23"/>
      <c r="E53" s="23">
        <f t="shared" si="1"/>
        <v>0</v>
      </c>
      <c r="F53" s="26"/>
      <c r="G53" s="27"/>
    </row>
    <row r="54" spans="1:7" x14ac:dyDescent="0.25">
      <c r="A54" s="21"/>
      <c r="D54" s="23"/>
      <c r="E54" s="23">
        <f t="shared" si="1"/>
        <v>0</v>
      </c>
      <c r="F54" s="26"/>
      <c r="G54" s="27"/>
    </row>
    <row r="55" spans="1:7" x14ac:dyDescent="0.25">
      <c r="A55" s="21"/>
      <c r="D55" s="23"/>
      <c r="E55" s="23">
        <f t="shared" si="1"/>
        <v>0</v>
      </c>
      <c r="F55" s="26"/>
      <c r="G55" s="27"/>
    </row>
    <row r="56" spans="1:7" x14ac:dyDescent="0.25">
      <c r="A56" s="21"/>
      <c r="D56" s="23"/>
      <c r="E56" s="23">
        <f t="shared" si="1"/>
        <v>0</v>
      </c>
      <c r="F56" s="26"/>
      <c r="G56" s="27"/>
    </row>
    <row r="57" spans="1:7" x14ac:dyDescent="0.25">
      <c r="A57" s="21"/>
      <c r="D57" s="23"/>
      <c r="E57" s="23">
        <f t="shared" si="1"/>
        <v>0</v>
      </c>
      <c r="F57" s="94"/>
      <c r="G57" s="95"/>
    </row>
    <row r="58" spans="1:7" x14ac:dyDescent="0.25">
      <c r="A58" s="21"/>
      <c r="D58" s="23"/>
      <c r="E58" s="23">
        <f t="shared" si="1"/>
        <v>0</v>
      </c>
      <c r="F58" s="26"/>
      <c r="G58" s="27"/>
    </row>
    <row r="59" spans="1:7" x14ac:dyDescent="0.25">
      <c r="A59" s="21"/>
      <c r="D59" s="23"/>
      <c r="E59" s="23">
        <f t="shared" si="1"/>
        <v>0</v>
      </c>
      <c r="F59" s="26"/>
      <c r="G59" s="27"/>
    </row>
    <row r="60" spans="1:7" x14ac:dyDescent="0.25">
      <c r="A60" s="21"/>
      <c r="D60" s="23"/>
      <c r="E60" s="23">
        <f t="shared" si="1"/>
        <v>0</v>
      </c>
      <c r="F60" s="26"/>
      <c r="G60" s="27"/>
    </row>
    <row r="61" spans="1:7" x14ac:dyDescent="0.25">
      <c r="A61" s="21"/>
      <c r="D61" s="23"/>
      <c r="E61" s="23">
        <f t="shared" si="1"/>
        <v>0</v>
      </c>
      <c r="F61" s="26"/>
      <c r="G61" s="27"/>
    </row>
    <row r="62" spans="1:7" x14ac:dyDescent="0.25">
      <c r="A62" s="21"/>
      <c r="D62" s="23"/>
      <c r="E62" s="23">
        <f t="shared" si="1"/>
        <v>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ref="E68:E99" si="2">C68*D68</f>
        <v>0</v>
      </c>
      <c r="F68" s="26"/>
      <c r="G68" s="27"/>
    </row>
    <row r="69" spans="1:7" x14ac:dyDescent="0.25">
      <c r="A69" s="21"/>
      <c r="D69" s="23"/>
      <c r="E69" s="23">
        <f t="shared" si="2"/>
        <v>0</v>
      </c>
      <c r="F69" s="26"/>
      <c r="G69" s="27"/>
    </row>
    <row r="70" spans="1:7" x14ac:dyDescent="0.25">
      <c r="A70" s="21"/>
      <c r="D70" s="23"/>
      <c r="E70" s="23">
        <f t="shared" si="2"/>
        <v>0</v>
      </c>
      <c r="F70" s="26"/>
      <c r="G70" s="27"/>
    </row>
    <row r="71" spans="1:7" x14ac:dyDescent="0.25">
      <c r="A71" s="21"/>
      <c r="D71" s="23"/>
      <c r="E71" s="23">
        <f t="shared" si="2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2"/>
        <v>0</v>
      </c>
      <c r="F72" s="45"/>
    </row>
    <row r="73" spans="1:7" x14ac:dyDescent="0.25">
      <c r="A73" s="21"/>
      <c r="D73" s="23"/>
      <c r="E73" s="23">
        <f t="shared" si="2"/>
        <v>0</v>
      </c>
      <c r="F73" s="26"/>
      <c r="G73" s="27"/>
    </row>
    <row r="74" spans="1:7" x14ac:dyDescent="0.25">
      <c r="A74" s="43"/>
      <c r="E74" s="20">
        <f t="shared" si="2"/>
        <v>0</v>
      </c>
      <c r="F74" s="26"/>
      <c r="G74" s="27"/>
    </row>
    <row r="75" spans="1:7" x14ac:dyDescent="0.25">
      <c r="A75" s="21"/>
      <c r="D75" s="23"/>
      <c r="E75" s="23">
        <f t="shared" si="2"/>
        <v>0</v>
      </c>
      <c r="F75" s="26"/>
      <c r="G75" s="27"/>
    </row>
    <row r="76" spans="1:7" x14ac:dyDescent="0.25">
      <c r="A76" s="21"/>
      <c r="D76" s="23"/>
      <c r="E76" s="23">
        <f t="shared" si="2"/>
        <v>0</v>
      </c>
      <c r="F76" s="26"/>
      <c r="G76" s="27"/>
    </row>
    <row r="77" spans="1:7" x14ac:dyDescent="0.25">
      <c r="A77" s="21"/>
      <c r="D77" s="23"/>
      <c r="E77" s="23">
        <f t="shared" si="2"/>
        <v>0</v>
      </c>
      <c r="F77" s="26"/>
      <c r="G77" s="27"/>
    </row>
    <row r="78" spans="1:7" x14ac:dyDescent="0.25">
      <c r="A78" s="21"/>
      <c r="D78" s="23"/>
      <c r="E78" s="23">
        <f t="shared" si="2"/>
        <v>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100046000</v>
      </c>
      <c r="G199" s="27">
        <f>SUM(G3:G198)</f>
        <v>84934000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B8EA-8ADE-F24B-8EF5-5B65FA4B35BC}">
  <dimension ref="A1:K200"/>
  <sheetViews>
    <sheetView zoomScaleNormal="100" zoomScaleSheetLayoutView="100" workbookViewId="0">
      <selection activeCell="I63" sqref="I63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'2023.3'!I3</f>
        <v>17766000</v>
      </c>
      <c r="F3" s="26">
        <v>45108</v>
      </c>
      <c r="G3" s="27">
        <v>4850000</v>
      </c>
      <c r="I3" s="110">
        <f>E199-G199</f>
        <v>37556000</v>
      </c>
      <c r="J3" s="111"/>
    </row>
    <row r="4" spans="1:11" x14ac:dyDescent="0.25">
      <c r="A4" s="21">
        <v>45109</v>
      </c>
      <c r="B4" t="s">
        <v>238</v>
      </c>
      <c r="C4" s="22">
        <v>196</v>
      </c>
      <c r="D4" s="23">
        <v>35000</v>
      </c>
      <c r="E4" s="23">
        <f t="shared" ref="E4:E35" si="0">C4*D4</f>
        <v>6860000</v>
      </c>
      <c r="F4" s="26">
        <v>45109</v>
      </c>
      <c r="G4" s="27">
        <v>10165000</v>
      </c>
      <c r="I4" s="89" t="s">
        <v>132</v>
      </c>
      <c r="J4" s="90">
        <v>11550</v>
      </c>
    </row>
    <row r="5" spans="1:11" ht="15.75" thickBot="1" x14ac:dyDescent="0.3">
      <c r="A5" s="21">
        <v>45111</v>
      </c>
      <c r="B5" t="s">
        <v>197</v>
      </c>
      <c r="C5" s="22">
        <v>34</v>
      </c>
      <c r="D5" s="23">
        <v>35000</v>
      </c>
      <c r="E5" s="67">
        <f t="shared" si="0"/>
        <v>1190000</v>
      </c>
      <c r="F5" s="26">
        <v>45111</v>
      </c>
      <c r="G5" s="27">
        <v>7200000</v>
      </c>
      <c r="I5" s="112">
        <f>I3/J4</f>
        <v>3251.6017316017314</v>
      </c>
      <c r="J5" s="113"/>
    </row>
    <row r="6" spans="1:11" ht="15.75" thickBot="1" x14ac:dyDescent="0.3">
      <c r="A6" s="21">
        <v>45111</v>
      </c>
      <c r="B6" t="s">
        <v>238</v>
      </c>
      <c r="C6" s="22">
        <v>110</v>
      </c>
      <c r="D6" s="23">
        <v>35000</v>
      </c>
      <c r="E6" s="23">
        <f t="shared" si="0"/>
        <v>3850000</v>
      </c>
      <c r="F6" s="26">
        <v>45112</v>
      </c>
      <c r="G6" s="27">
        <v>10850000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45111</v>
      </c>
      <c r="B7" t="s">
        <v>244</v>
      </c>
      <c r="C7" s="22">
        <v>122</v>
      </c>
      <c r="D7" s="23">
        <v>42000</v>
      </c>
      <c r="E7" s="23">
        <f t="shared" si="0"/>
        <v>5124000</v>
      </c>
      <c r="F7" s="26">
        <v>45113</v>
      </c>
      <c r="G7" s="27">
        <v>9400000</v>
      </c>
    </row>
    <row r="8" spans="1:11" ht="15.75" thickBot="1" x14ac:dyDescent="0.3">
      <c r="A8" s="21">
        <v>45112</v>
      </c>
      <c r="B8" t="s">
        <v>244</v>
      </c>
      <c r="C8" s="22">
        <v>84</v>
      </c>
      <c r="D8" s="23">
        <v>42000</v>
      </c>
      <c r="E8" s="23">
        <f t="shared" si="0"/>
        <v>3528000</v>
      </c>
      <c r="F8" s="26">
        <v>45114</v>
      </c>
      <c r="G8" s="27">
        <v>12700000</v>
      </c>
      <c r="I8" s="29" t="s">
        <v>15</v>
      </c>
      <c r="J8" s="30">
        <f>I3-J6</f>
        <v>2180000</v>
      </c>
    </row>
    <row r="9" spans="1:11" x14ac:dyDescent="0.25">
      <c r="A9" s="21">
        <v>45112</v>
      </c>
      <c r="B9" t="s">
        <v>197</v>
      </c>
      <c r="C9" s="22">
        <v>94</v>
      </c>
      <c r="D9" s="23">
        <v>35000</v>
      </c>
      <c r="E9" s="23">
        <f t="shared" si="0"/>
        <v>3290000</v>
      </c>
      <c r="F9" s="26">
        <v>45115</v>
      </c>
      <c r="G9" s="27">
        <v>5550000</v>
      </c>
    </row>
    <row r="10" spans="1:11" ht="15.75" thickBot="1" x14ac:dyDescent="0.3">
      <c r="A10" s="43">
        <v>45113</v>
      </c>
      <c r="B10" t="s">
        <v>238</v>
      </c>
      <c r="C10" s="22">
        <v>118</v>
      </c>
      <c r="D10" s="20">
        <v>35000</v>
      </c>
      <c r="E10" s="20">
        <f t="shared" si="0"/>
        <v>4130000</v>
      </c>
      <c r="F10" s="26">
        <v>45116</v>
      </c>
      <c r="G10" s="27">
        <v>1650000</v>
      </c>
    </row>
    <row r="11" spans="1:11" ht="15.75" thickBot="1" x14ac:dyDescent="0.3">
      <c r="A11" s="21">
        <v>45113</v>
      </c>
      <c r="B11" t="s">
        <v>197</v>
      </c>
      <c r="C11" s="22">
        <v>100</v>
      </c>
      <c r="D11" s="23">
        <v>35000</v>
      </c>
      <c r="E11" s="23">
        <f t="shared" si="0"/>
        <v>3500000</v>
      </c>
      <c r="F11" s="26">
        <v>45118</v>
      </c>
      <c r="G11" s="27">
        <v>3200000</v>
      </c>
      <c r="I11" s="54" t="s">
        <v>66</v>
      </c>
      <c r="J11" s="55"/>
    </row>
    <row r="12" spans="1:11" x14ac:dyDescent="0.25">
      <c r="A12" s="21">
        <v>45113</v>
      </c>
      <c r="B12" t="s">
        <v>244</v>
      </c>
      <c r="C12" s="22">
        <v>80</v>
      </c>
      <c r="D12" s="23">
        <v>42000</v>
      </c>
      <c r="E12" s="23">
        <f t="shared" si="0"/>
        <v>3360000</v>
      </c>
      <c r="F12" s="26">
        <v>45119</v>
      </c>
      <c r="G12" s="27">
        <v>1300000</v>
      </c>
    </row>
    <row r="13" spans="1:11" x14ac:dyDescent="0.25">
      <c r="A13" s="21">
        <v>45114</v>
      </c>
      <c r="B13" t="s">
        <v>197</v>
      </c>
      <c r="C13" s="22">
        <v>116</v>
      </c>
      <c r="D13" s="23">
        <v>35000</v>
      </c>
      <c r="E13" s="23">
        <f t="shared" si="0"/>
        <v>4060000</v>
      </c>
      <c r="F13" s="26">
        <v>45120</v>
      </c>
      <c r="G13" s="27">
        <v>1150000</v>
      </c>
    </row>
    <row r="14" spans="1:11" ht="15.75" thickBot="1" x14ac:dyDescent="0.3">
      <c r="A14" s="21">
        <v>45114</v>
      </c>
      <c r="B14" t="s">
        <v>244</v>
      </c>
      <c r="C14" s="22">
        <v>112</v>
      </c>
      <c r="D14" s="23">
        <v>42000</v>
      </c>
      <c r="E14" s="23">
        <f t="shared" si="0"/>
        <v>4704000</v>
      </c>
      <c r="F14" s="26">
        <v>45121</v>
      </c>
      <c r="G14" s="27">
        <v>500000</v>
      </c>
    </row>
    <row r="15" spans="1:11" x14ac:dyDescent="0.25">
      <c r="A15" s="21">
        <v>45114</v>
      </c>
      <c r="B15" t="s">
        <v>238</v>
      </c>
      <c r="C15" s="22">
        <v>82</v>
      </c>
      <c r="D15" s="23">
        <v>35000</v>
      </c>
      <c r="E15" s="23">
        <f t="shared" si="0"/>
        <v>2870000</v>
      </c>
      <c r="F15" s="26">
        <v>45122</v>
      </c>
      <c r="G15" s="27">
        <v>574000</v>
      </c>
      <c r="I15" s="114"/>
      <c r="J15" s="115"/>
    </row>
    <row r="16" spans="1:11" ht="15.75" thickBot="1" x14ac:dyDescent="0.3">
      <c r="A16" s="21">
        <v>45115</v>
      </c>
      <c r="B16" t="s">
        <v>197</v>
      </c>
      <c r="C16" s="22">
        <v>62</v>
      </c>
      <c r="D16" s="23">
        <v>35000</v>
      </c>
      <c r="E16" s="23">
        <f t="shared" si="0"/>
        <v>2170000</v>
      </c>
      <c r="F16" s="26">
        <v>45123</v>
      </c>
      <c r="G16" s="27">
        <v>2590000</v>
      </c>
      <c r="I16" s="80"/>
      <c r="J16" s="81"/>
    </row>
    <row r="17" spans="1:8" x14ac:dyDescent="0.25">
      <c r="A17" s="21">
        <v>45115</v>
      </c>
      <c r="B17" t="s">
        <v>244</v>
      </c>
      <c r="C17" s="22">
        <v>20</v>
      </c>
      <c r="D17" s="23">
        <v>42000</v>
      </c>
      <c r="E17" s="23">
        <f t="shared" si="0"/>
        <v>840000</v>
      </c>
      <c r="F17" s="26">
        <v>45125</v>
      </c>
      <c r="G17" s="27">
        <v>5600000</v>
      </c>
    </row>
    <row r="18" spans="1:8" x14ac:dyDescent="0.25">
      <c r="A18" s="21">
        <v>45115</v>
      </c>
      <c r="B18" t="s">
        <v>238</v>
      </c>
      <c r="C18" s="22">
        <v>92</v>
      </c>
      <c r="D18" s="23">
        <v>35000</v>
      </c>
      <c r="E18" s="23">
        <f t="shared" si="0"/>
        <v>3220000</v>
      </c>
      <c r="F18" s="26">
        <v>45126</v>
      </c>
      <c r="G18" s="27">
        <v>4300000</v>
      </c>
    </row>
    <row r="19" spans="1:8" x14ac:dyDescent="0.25">
      <c r="A19" s="21">
        <v>45116</v>
      </c>
      <c r="B19" t="s">
        <v>244</v>
      </c>
      <c r="C19" s="22">
        <v>120</v>
      </c>
      <c r="D19" s="23">
        <v>42000</v>
      </c>
      <c r="E19" s="23">
        <f t="shared" si="0"/>
        <v>5040000</v>
      </c>
      <c r="F19" s="45">
        <v>45127</v>
      </c>
      <c r="G19" s="17">
        <v>2200000</v>
      </c>
    </row>
    <row r="20" spans="1:8" x14ac:dyDescent="0.25">
      <c r="A20" s="43">
        <v>45116</v>
      </c>
      <c r="B20" t="s">
        <v>197</v>
      </c>
      <c r="C20" s="22">
        <v>50</v>
      </c>
      <c r="D20" s="20">
        <v>35000</v>
      </c>
      <c r="E20" s="96">
        <f t="shared" si="0"/>
        <v>1750000</v>
      </c>
      <c r="F20" s="26">
        <v>45128</v>
      </c>
      <c r="G20" s="27">
        <v>11100000</v>
      </c>
    </row>
    <row r="21" spans="1:8" x14ac:dyDescent="0.25">
      <c r="A21" s="21">
        <v>45116</v>
      </c>
      <c r="B21" t="s">
        <v>238</v>
      </c>
      <c r="C21" s="22">
        <v>170</v>
      </c>
      <c r="D21" s="23">
        <v>35000</v>
      </c>
      <c r="E21" s="23">
        <f t="shared" si="0"/>
        <v>5950000</v>
      </c>
      <c r="F21" s="26">
        <v>45129</v>
      </c>
      <c r="G21" s="27">
        <v>1700000</v>
      </c>
    </row>
    <row r="22" spans="1:8" x14ac:dyDescent="0.25">
      <c r="A22" s="21">
        <v>45118</v>
      </c>
      <c r="B22" t="s">
        <v>250</v>
      </c>
      <c r="C22" s="22">
        <v>30</v>
      </c>
      <c r="D22" s="23">
        <v>39000</v>
      </c>
      <c r="E22" s="23">
        <f t="shared" si="0"/>
        <v>1170000</v>
      </c>
      <c r="F22" s="26">
        <v>45130</v>
      </c>
      <c r="G22" s="27">
        <v>1480000</v>
      </c>
      <c r="H22" t="s">
        <v>255</v>
      </c>
    </row>
    <row r="23" spans="1:8" x14ac:dyDescent="0.25">
      <c r="A23" s="21">
        <v>45118</v>
      </c>
      <c r="B23" t="s">
        <v>251</v>
      </c>
      <c r="C23" s="22">
        <v>41</v>
      </c>
      <c r="D23" s="23">
        <v>38000</v>
      </c>
      <c r="E23" s="23">
        <f t="shared" si="0"/>
        <v>1558000</v>
      </c>
      <c r="F23" s="26">
        <v>45130</v>
      </c>
      <c r="G23" s="27">
        <f>900000+5117000</f>
        <v>6017000</v>
      </c>
    </row>
    <row r="24" spans="1:8" x14ac:dyDescent="0.25">
      <c r="A24" s="21">
        <v>45119</v>
      </c>
      <c r="B24" t="s">
        <v>197</v>
      </c>
      <c r="C24" s="22">
        <v>126</v>
      </c>
      <c r="D24" s="23">
        <v>35000</v>
      </c>
      <c r="E24" s="23">
        <f t="shared" si="0"/>
        <v>4410000</v>
      </c>
      <c r="F24" s="26">
        <v>45132</v>
      </c>
      <c r="G24" s="27">
        <v>7000000</v>
      </c>
      <c r="H24" t="s">
        <v>256</v>
      </c>
    </row>
    <row r="25" spans="1:8" x14ac:dyDescent="0.25">
      <c r="A25" s="21">
        <v>45120</v>
      </c>
      <c r="B25" t="s">
        <v>244</v>
      </c>
      <c r="C25" s="22">
        <v>93</v>
      </c>
      <c r="D25" s="23">
        <v>42000</v>
      </c>
      <c r="E25" s="23">
        <f t="shared" si="0"/>
        <v>3906000</v>
      </c>
      <c r="F25" s="26">
        <v>45132</v>
      </c>
      <c r="G25" s="27">
        <v>600000</v>
      </c>
    </row>
    <row r="26" spans="1:8" x14ac:dyDescent="0.25">
      <c r="A26" s="21">
        <v>45125</v>
      </c>
      <c r="B26" t="s">
        <v>252</v>
      </c>
      <c r="C26" s="22">
        <v>38</v>
      </c>
      <c r="D26" s="23">
        <v>46000</v>
      </c>
      <c r="E26" s="23">
        <f t="shared" si="0"/>
        <v>1748000</v>
      </c>
      <c r="F26" s="26">
        <v>45134</v>
      </c>
      <c r="G26" s="27">
        <v>7000000</v>
      </c>
    </row>
    <row r="27" spans="1:8" x14ac:dyDescent="0.25">
      <c r="A27" s="21">
        <v>45125</v>
      </c>
      <c r="B27" t="s">
        <v>253</v>
      </c>
      <c r="C27" s="22">
        <v>248</v>
      </c>
      <c r="D27" s="23">
        <v>40000</v>
      </c>
      <c r="E27" s="23">
        <f t="shared" si="0"/>
        <v>9920000</v>
      </c>
      <c r="F27" s="26">
        <v>45135</v>
      </c>
      <c r="G27" s="27">
        <v>3000000</v>
      </c>
    </row>
    <row r="28" spans="1:8" x14ac:dyDescent="0.25">
      <c r="A28" s="21">
        <v>45127</v>
      </c>
      <c r="B28" t="s">
        <v>252</v>
      </c>
      <c r="C28" s="22">
        <v>32</v>
      </c>
      <c r="D28" s="23">
        <v>46000</v>
      </c>
      <c r="E28" s="23">
        <f t="shared" si="0"/>
        <v>1472000</v>
      </c>
      <c r="F28" s="45">
        <v>45136</v>
      </c>
      <c r="G28" s="17">
        <v>750000</v>
      </c>
    </row>
    <row r="29" spans="1:8" x14ac:dyDescent="0.25">
      <c r="A29" s="21">
        <v>45127</v>
      </c>
      <c r="B29" t="s">
        <v>254</v>
      </c>
      <c r="C29" s="22">
        <v>252</v>
      </c>
      <c r="D29" s="23">
        <v>39000</v>
      </c>
      <c r="E29" s="23">
        <f t="shared" si="0"/>
        <v>9828000</v>
      </c>
      <c r="F29" s="26">
        <v>45137</v>
      </c>
      <c r="G29" s="27">
        <v>300000</v>
      </c>
    </row>
    <row r="30" spans="1:8" x14ac:dyDescent="0.25">
      <c r="A30" s="21">
        <v>45128</v>
      </c>
      <c r="B30" t="s">
        <v>250</v>
      </c>
      <c r="C30" s="22">
        <v>140</v>
      </c>
      <c r="D30" s="23">
        <v>39000</v>
      </c>
      <c r="E30" s="23">
        <f t="shared" si="0"/>
        <v>5460000</v>
      </c>
      <c r="F30" s="26"/>
      <c r="G30" s="27"/>
    </row>
    <row r="31" spans="1:8" x14ac:dyDescent="0.25">
      <c r="A31" s="21">
        <v>45128</v>
      </c>
      <c r="B31" t="s">
        <v>253</v>
      </c>
      <c r="C31" s="22">
        <v>40</v>
      </c>
      <c r="D31" s="23">
        <v>40000</v>
      </c>
      <c r="E31" s="23">
        <f t="shared" si="0"/>
        <v>1600000</v>
      </c>
      <c r="F31" s="26"/>
      <c r="G31" s="27"/>
    </row>
    <row r="32" spans="1:8" x14ac:dyDescent="0.25">
      <c r="A32" s="43">
        <v>45128</v>
      </c>
      <c r="B32" t="s">
        <v>252</v>
      </c>
      <c r="C32" s="22">
        <v>52</v>
      </c>
      <c r="D32" s="20">
        <v>46000</v>
      </c>
      <c r="E32" s="44">
        <f t="shared" si="0"/>
        <v>2392000</v>
      </c>
      <c r="F32" s="26"/>
      <c r="G32" s="27"/>
    </row>
    <row r="33" spans="1:7" x14ac:dyDescent="0.25">
      <c r="A33" s="21">
        <v>45129</v>
      </c>
      <c r="B33" t="s">
        <v>253</v>
      </c>
      <c r="C33" s="22">
        <v>244</v>
      </c>
      <c r="D33" s="23">
        <v>40000</v>
      </c>
      <c r="E33" s="23">
        <f t="shared" si="0"/>
        <v>9760000</v>
      </c>
      <c r="F33" s="26"/>
      <c r="G33" s="27"/>
    </row>
    <row r="34" spans="1:7" x14ac:dyDescent="0.25">
      <c r="A34" s="21">
        <v>45129</v>
      </c>
      <c r="B34" t="s">
        <v>252</v>
      </c>
      <c r="C34" s="22">
        <v>48</v>
      </c>
      <c r="D34" s="23">
        <v>46000</v>
      </c>
      <c r="E34" s="23">
        <f t="shared" si="0"/>
        <v>2208000</v>
      </c>
      <c r="F34" s="26"/>
      <c r="G34" s="27"/>
    </row>
    <row r="35" spans="1:7" x14ac:dyDescent="0.25">
      <c r="A35" s="21">
        <v>45130</v>
      </c>
      <c r="B35" t="s">
        <v>250</v>
      </c>
      <c r="C35" s="22">
        <v>60</v>
      </c>
      <c r="D35" s="23">
        <v>39000</v>
      </c>
      <c r="E35" s="23">
        <f t="shared" si="0"/>
        <v>2340000</v>
      </c>
      <c r="F35" s="26"/>
      <c r="G35" s="27"/>
    </row>
    <row r="36" spans="1:7" x14ac:dyDescent="0.25">
      <c r="A36" s="21">
        <v>45130</v>
      </c>
      <c r="B36" t="s">
        <v>253</v>
      </c>
      <c r="C36" s="22">
        <v>156</v>
      </c>
      <c r="D36" s="23">
        <v>40000</v>
      </c>
      <c r="E36" s="23">
        <f t="shared" ref="E36:E67" si="1">C36*D36</f>
        <v>6240000</v>
      </c>
      <c r="F36" s="26"/>
      <c r="G36" s="27"/>
    </row>
    <row r="37" spans="1:7" x14ac:dyDescent="0.25">
      <c r="A37" s="21">
        <v>45132</v>
      </c>
      <c r="B37" t="s">
        <v>250</v>
      </c>
      <c r="C37" s="22">
        <v>28</v>
      </c>
      <c r="D37" s="23">
        <v>39000</v>
      </c>
      <c r="E37" s="23">
        <f t="shared" si="1"/>
        <v>1092000</v>
      </c>
      <c r="F37" s="26"/>
      <c r="G37" s="27"/>
    </row>
    <row r="38" spans="1:7" x14ac:dyDescent="0.25">
      <c r="A38" s="21">
        <v>45133</v>
      </c>
      <c r="B38" t="s">
        <v>252</v>
      </c>
      <c r="C38" s="22">
        <v>88</v>
      </c>
      <c r="D38" s="23">
        <v>46000</v>
      </c>
      <c r="E38" s="23">
        <f t="shared" si="1"/>
        <v>4048000</v>
      </c>
      <c r="F38" s="26"/>
      <c r="G38" s="27"/>
    </row>
    <row r="39" spans="1:7" x14ac:dyDescent="0.25">
      <c r="A39" s="21">
        <v>45136</v>
      </c>
      <c r="B39" t="s">
        <v>253</v>
      </c>
      <c r="C39" s="22">
        <v>124</v>
      </c>
      <c r="D39" s="23">
        <v>40000</v>
      </c>
      <c r="E39" s="23">
        <f t="shared" si="1"/>
        <v>4960000</v>
      </c>
      <c r="F39" s="26"/>
      <c r="G39" s="27"/>
    </row>
    <row r="40" spans="1:7" x14ac:dyDescent="0.25">
      <c r="A40" s="21">
        <v>45137</v>
      </c>
      <c r="B40" t="s">
        <v>253</v>
      </c>
      <c r="C40" s="22">
        <v>58</v>
      </c>
      <c r="D40" s="23">
        <v>40000</v>
      </c>
      <c r="E40" s="23">
        <f t="shared" si="1"/>
        <v>2320000</v>
      </c>
      <c r="F40" s="26"/>
      <c r="G40" s="27"/>
    </row>
    <row r="41" spans="1:7" x14ac:dyDescent="0.25">
      <c r="A41" s="21">
        <v>45137</v>
      </c>
      <c r="B41" t="s">
        <v>257</v>
      </c>
      <c r="C41" s="22">
        <v>18</v>
      </c>
      <c r="D41" s="23">
        <v>36000</v>
      </c>
      <c r="E41" s="23">
        <f t="shared" si="1"/>
        <v>648000</v>
      </c>
      <c r="F41" s="45"/>
      <c r="G41" s="17"/>
    </row>
    <row r="42" spans="1:7" x14ac:dyDescent="0.25">
      <c r="A42" s="21"/>
      <c r="B42" t="s">
        <v>197</v>
      </c>
      <c r="D42" s="23"/>
      <c r="E42" s="23">
        <f t="shared" si="1"/>
        <v>0</v>
      </c>
      <c r="F42" s="26"/>
      <c r="G42" s="27"/>
    </row>
    <row r="43" spans="1:7" x14ac:dyDescent="0.25">
      <c r="A43" s="21"/>
      <c r="B43" t="s">
        <v>244</v>
      </c>
      <c r="D43" s="23"/>
      <c r="E43" s="23">
        <f t="shared" si="1"/>
        <v>0</v>
      </c>
      <c r="F43" s="26"/>
      <c r="G43" s="27"/>
    </row>
    <row r="44" spans="1:7" x14ac:dyDescent="0.25">
      <c r="A44" s="21"/>
      <c r="B44" t="s">
        <v>238</v>
      </c>
      <c r="D44" s="23"/>
      <c r="E44" s="23">
        <f t="shared" si="1"/>
        <v>0</v>
      </c>
      <c r="F44" s="26"/>
      <c r="G44" s="27"/>
    </row>
    <row r="45" spans="1:7" x14ac:dyDescent="0.25">
      <c r="A45" s="21"/>
      <c r="B45" t="s">
        <v>248</v>
      </c>
      <c r="D45" s="23"/>
      <c r="E45" s="23">
        <f t="shared" si="1"/>
        <v>0</v>
      </c>
      <c r="F45" s="85"/>
      <c r="G45" s="86"/>
    </row>
    <row r="46" spans="1:7" x14ac:dyDescent="0.25">
      <c r="A46" s="21"/>
      <c r="B46" t="s">
        <v>238</v>
      </c>
      <c r="D46" s="23"/>
      <c r="E46" s="23">
        <f t="shared" si="1"/>
        <v>0</v>
      </c>
      <c r="F46" s="26"/>
      <c r="G46" s="27"/>
    </row>
    <row r="47" spans="1:7" x14ac:dyDescent="0.25">
      <c r="A47" s="21"/>
      <c r="B47" t="s">
        <v>244</v>
      </c>
      <c r="D47" s="23"/>
      <c r="E47" s="23">
        <f t="shared" si="1"/>
        <v>0</v>
      </c>
      <c r="F47" s="26"/>
      <c r="G47" s="27"/>
    </row>
    <row r="48" spans="1:7" x14ac:dyDescent="0.25">
      <c r="A48" s="21"/>
      <c r="B48" t="s">
        <v>197</v>
      </c>
      <c r="D48" s="23"/>
      <c r="E48" s="23">
        <f t="shared" si="1"/>
        <v>0</v>
      </c>
      <c r="F48" s="26"/>
      <c r="G48" s="27"/>
    </row>
    <row r="49" spans="1:7" x14ac:dyDescent="0.25">
      <c r="A49" s="21"/>
      <c r="B49" t="s">
        <v>238</v>
      </c>
      <c r="D49" s="23"/>
      <c r="E49" s="23">
        <f t="shared" si="1"/>
        <v>0</v>
      </c>
      <c r="F49" s="45"/>
      <c r="G49" s="17"/>
    </row>
    <row r="50" spans="1:7" x14ac:dyDescent="0.25">
      <c r="A50" s="21"/>
      <c r="B50" t="s">
        <v>244</v>
      </c>
      <c r="D50" s="23"/>
      <c r="E50" s="23">
        <f t="shared" si="1"/>
        <v>0</v>
      </c>
      <c r="F50" s="26"/>
      <c r="G50" s="27"/>
    </row>
    <row r="51" spans="1:7" x14ac:dyDescent="0.25">
      <c r="A51" s="21"/>
      <c r="B51" t="s">
        <v>197</v>
      </c>
      <c r="D51" s="23"/>
      <c r="E51" s="23">
        <f t="shared" si="1"/>
        <v>0</v>
      </c>
      <c r="F51" s="85"/>
      <c r="G51" s="86"/>
    </row>
    <row r="52" spans="1:7" x14ac:dyDescent="0.25">
      <c r="A52" s="43"/>
      <c r="B52" t="s">
        <v>238</v>
      </c>
      <c r="E52" s="23">
        <f t="shared" si="1"/>
        <v>0</v>
      </c>
      <c r="F52" s="26"/>
      <c r="G52" s="27"/>
    </row>
    <row r="53" spans="1:7" x14ac:dyDescent="0.25">
      <c r="A53" s="21"/>
      <c r="B53" t="s">
        <v>197</v>
      </c>
      <c r="D53" s="23"/>
      <c r="E53" s="23">
        <f t="shared" si="1"/>
        <v>0</v>
      </c>
      <c r="F53" s="26"/>
      <c r="G53" s="27"/>
    </row>
    <row r="54" spans="1:7" x14ac:dyDescent="0.25">
      <c r="A54" s="21"/>
      <c r="B54" t="s">
        <v>248</v>
      </c>
      <c r="D54" s="23"/>
      <c r="E54" s="23">
        <f t="shared" si="1"/>
        <v>0</v>
      </c>
      <c r="F54" s="26"/>
      <c r="G54" s="27"/>
    </row>
    <row r="55" spans="1:7" x14ac:dyDescent="0.25">
      <c r="A55" s="21"/>
      <c r="B55" t="s">
        <v>197</v>
      </c>
      <c r="D55" s="23"/>
      <c r="E55" s="23">
        <f t="shared" si="1"/>
        <v>0</v>
      </c>
      <c r="F55" s="26"/>
      <c r="G55" s="27"/>
    </row>
    <row r="56" spans="1:7" x14ac:dyDescent="0.25">
      <c r="A56" s="21"/>
      <c r="B56" t="s">
        <v>244</v>
      </c>
      <c r="D56" s="23"/>
      <c r="E56" s="23">
        <f t="shared" si="1"/>
        <v>0</v>
      </c>
      <c r="F56" s="26"/>
      <c r="G56" s="27"/>
    </row>
    <row r="57" spans="1:7" x14ac:dyDescent="0.25">
      <c r="A57" s="21"/>
      <c r="B57" t="s">
        <v>244</v>
      </c>
      <c r="D57" s="23"/>
      <c r="E57" s="23">
        <f t="shared" si="1"/>
        <v>0</v>
      </c>
      <c r="F57" s="94"/>
      <c r="G57" s="95"/>
    </row>
    <row r="58" spans="1:7" x14ac:dyDescent="0.25">
      <c r="A58" s="21"/>
      <c r="B58" t="s">
        <v>238</v>
      </c>
      <c r="D58" s="23"/>
      <c r="E58" s="23">
        <f t="shared" si="1"/>
        <v>0</v>
      </c>
      <c r="F58" s="26"/>
      <c r="G58" s="27"/>
    </row>
    <row r="59" spans="1:7" x14ac:dyDescent="0.25">
      <c r="A59" s="21"/>
      <c r="B59" t="s">
        <v>248</v>
      </c>
      <c r="D59" s="23"/>
      <c r="E59" s="23">
        <f t="shared" si="1"/>
        <v>0</v>
      </c>
      <c r="F59" s="26"/>
      <c r="G59" s="27"/>
    </row>
    <row r="60" spans="1:7" x14ac:dyDescent="0.25">
      <c r="A60" s="21"/>
      <c r="B60" t="s">
        <v>197</v>
      </c>
      <c r="D60" s="23"/>
      <c r="E60" s="23">
        <f t="shared" si="1"/>
        <v>0</v>
      </c>
      <c r="F60" s="26"/>
      <c r="G60" s="27"/>
    </row>
    <row r="61" spans="1:7" x14ac:dyDescent="0.25">
      <c r="A61" s="21"/>
      <c r="B61" t="s">
        <v>238</v>
      </c>
      <c r="D61" s="23"/>
      <c r="E61" s="23">
        <f t="shared" si="1"/>
        <v>0</v>
      </c>
      <c r="F61" s="26"/>
      <c r="G61" s="27"/>
    </row>
    <row r="62" spans="1:7" x14ac:dyDescent="0.25">
      <c r="A62" s="21"/>
      <c r="B62" t="s">
        <v>197</v>
      </c>
      <c r="D62" s="23"/>
      <c r="E62" s="23">
        <f t="shared" si="1"/>
        <v>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ref="E68:E99" si="2">C68*D68</f>
        <v>0</v>
      </c>
      <c r="F68" s="26"/>
      <c r="G68" s="27"/>
    </row>
    <row r="69" spans="1:7" x14ac:dyDescent="0.25">
      <c r="A69" s="21"/>
      <c r="D69" s="23"/>
      <c r="E69" s="23">
        <f t="shared" si="2"/>
        <v>0</v>
      </c>
      <c r="F69" s="26"/>
      <c r="G69" s="27"/>
    </row>
    <row r="70" spans="1:7" x14ac:dyDescent="0.25">
      <c r="A70" s="21"/>
      <c r="D70" s="23"/>
      <c r="E70" s="23">
        <f t="shared" si="2"/>
        <v>0</v>
      </c>
      <c r="F70" s="26"/>
      <c r="G70" s="27"/>
    </row>
    <row r="71" spans="1:7" x14ac:dyDescent="0.25">
      <c r="A71" s="21"/>
      <c r="D71" s="23"/>
      <c r="E71" s="23">
        <f t="shared" si="2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2"/>
        <v>0</v>
      </c>
      <c r="F72" s="45"/>
    </row>
    <row r="73" spans="1:7" x14ac:dyDescent="0.25">
      <c r="A73" s="21"/>
      <c r="D73" s="23"/>
      <c r="E73" s="23">
        <f t="shared" si="2"/>
        <v>0</v>
      </c>
      <c r="F73" s="26"/>
      <c r="G73" s="27"/>
    </row>
    <row r="74" spans="1:7" x14ac:dyDescent="0.25">
      <c r="A74" s="43"/>
      <c r="E74" s="20">
        <f t="shared" si="2"/>
        <v>0</v>
      </c>
      <c r="F74" s="26"/>
      <c r="G74" s="27"/>
    </row>
    <row r="75" spans="1:7" x14ac:dyDescent="0.25">
      <c r="A75" s="21"/>
      <c r="D75" s="23"/>
      <c r="E75" s="23">
        <f t="shared" si="2"/>
        <v>0</v>
      </c>
      <c r="F75" s="26"/>
      <c r="G75" s="27"/>
    </row>
    <row r="76" spans="1:7" x14ac:dyDescent="0.25">
      <c r="A76" s="21"/>
      <c r="D76" s="23"/>
      <c r="E76" s="23">
        <f t="shared" si="2"/>
        <v>0</v>
      </c>
      <c r="F76" s="26"/>
      <c r="G76" s="27"/>
    </row>
    <row r="77" spans="1:7" x14ac:dyDescent="0.25">
      <c r="A77" s="21"/>
      <c r="D77" s="23"/>
      <c r="E77" s="23">
        <f t="shared" si="2"/>
        <v>0</v>
      </c>
      <c r="F77" s="26"/>
      <c r="G77" s="27"/>
    </row>
    <row r="78" spans="1:7" x14ac:dyDescent="0.25">
      <c r="A78" s="21"/>
      <c r="D78" s="23"/>
      <c r="E78" s="23">
        <f t="shared" si="2"/>
        <v>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160282000</v>
      </c>
      <c r="G199" s="27">
        <f>SUM(G3:G198)</f>
        <v>122726000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52F0-66D9-844E-87DF-9BAA1664E7A7}">
  <dimension ref="A1:D5"/>
  <sheetViews>
    <sheetView zoomScaleNormal="100" zoomScaleSheetLayoutView="100" workbookViewId="0">
      <selection activeCell="D5" sqref="D5"/>
    </sheetView>
  </sheetViews>
  <sheetFormatPr defaultRowHeight="15" x14ac:dyDescent="0.25"/>
  <cols>
    <col min="3" max="3" width="16.140625" customWidth="1"/>
    <col min="4" max="4" width="10.28515625" bestFit="1" customWidth="1"/>
  </cols>
  <sheetData>
    <row r="1" spans="1:4" x14ac:dyDescent="0.25">
      <c r="A1">
        <f>45+25+36.4+65+74.1+50+75+81+129+104+40+86+60+65+50+38.5+58+44.5+88+44+159+95+110.9+144+71.5+16.5+55+65+40+165+240+69.7+56.5+15+160+441.7+60+71+60+54.3+110+47+150+61+70+59.35+70+75+79+97+58.8+63+60+50+180+44+50+46+20+82+30+35+70+82+30+90+65+115.5+112+260+212.5+105+100+30+200+180+29+96.5+61.5+203+100+61.5+10+11+247+88+88+187+48.5+102+51+145+40.3+188+51.3+125+100+16+44.6+172.5+20+45.4+25+174+15+41</f>
        <v>9184.8499999999985</v>
      </c>
      <c r="B1">
        <v>1500</v>
      </c>
      <c r="C1" s="97">
        <f>A1*B1</f>
        <v>13777274.999999998</v>
      </c>
      <c r="D1" s="97">
        <f>C1/12250</f>
        <v>1124.6755102040815</v>
      </c>
    </row>
    <row r="3" spans="1:4" x14ac:dyDescent="0.25">
      <c r="A3">
        <f>3+2.5+25.8+20.8+21.2+19.1+5.68+120+43.4+12.7+30.6+47+110+18.3+7.6+6.1+2+14.7+7.1+7.5+8.7+25+3.54+1.86+2.3+20.14+10+22.71+21.3+26.4+3+24.1+13+6.6+14.3+26+6.6+2.6+3.9+28+30+60+52+150+114.1+38+41.1+33+58.2+16.22+20.58</f>
        <v>1408.33</v>
      </c>
      <c r="B3">
        <v>0.2</v>
      </c>
      <c r="C3">
        <f>A3*B3</f>
        <v>281.666</v>
      </c>
    </row>
    <row r="5" spans="1:4" x14ac:dyDescent="0.25">
      <c r="D5" s="97">
        <f>C3+D1+23</f>
        <v>1429.3415102040815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50C6-AE89-1540-9133-5C1D55F04AE1}">
  <dimension ref="A1:K200"/>
  <sheetViews>
    <sheetView topLeftCell="G1" zoomScaleNormal="100" zoomScaleSheetLayoutView="100" workbookViewId="0">
      <selection activeCell="A63" sqref="A63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'2023.2'!I3</f>
        <v>16714000</v>
      </c>
      <c r="F3" s="26">
        <v>45078</v>
      </c>
      <c r="G3" s="27">
        <v>7900000</v>
      </c>
      <c r="I3" s="110">
        <f>E199-G199</f>
        <v>17766000</v>
      </c>
      <c r="J3" s="111"/>
    </row>
    <row r="4" spans="1:11" x14ac:dyDescent="0.25">
      <c r="A4" s="21">
        <v>45078</v>
      </c>
      <c r="B4" t="s">
        <v>238</v>
      </c>
      <c r="C4" s="22">
        <v>124</v>
      </c>
      <c r="D4" s="23">
        <v>35000</v>
      </c>
      <c r="E4" s="23">
        <f t="shared" ref="E4:E35" si="0">C4*D4</f>
        <v>4340000</v>
      </c>
      <c r="F4" s="26">
        <v>45079</v>
      </c>
      <c r="G4" s="27">
        <v>7300000</v>
      </c>
      <c r="I4" s="89" t="s">
        <v>132</v>
      </c>
      <c r="J4" s="90">
        <v>11400</v>
      </c>
    </row>
    <row r="5" spans="1:11" ht="15.75" thickBot="1" x14ac:dyDescent="0.3">
      <c r="A5" s="21">
        <v>45078</v>
      </c>
      <c r="B5" t="s">
        <v>197</v>
      </c>
      <c r="C5" s="22">
        <v>78</v>
      </c>
      <c r="D5" s="23">
        <v>35000</v>
      </c>
      <c r="E5" s="67">
        <f t="shared" si="0"/>
        <v>2730000</v>
      </c>
      <c r="F5" s="26">
        <v>45080</v>
      </c>
      <c r="G5" s="27">
        <f>3950000+280000</f>
        <v>4230000</v>
      </c>
      <c r="I5" s="112">
        <f>I3/J4</f>
        <v>1558.421052631579</v>
      </c>
      <c r="J5" s="113"/>
    </row>
    <row r="6" spans="1:11" ht="15.75" thickBot="1" x14ac:dyDescent="0.3">
      <c r="A6" s="21">
        <v>45079</v>
      </c>
      <c r="B6" t="s">
        <v>197</v>
      </c>
      <c r="C6" s="22">
        <v>116</v>
      </c>
      <c r="D6" s="23">
        <v>35000</v>
      </c>
      <c r="E6" s="23">
        <f t="shared" si="0"/>
        <v>4060000</v>
      </c>
      <c r="F6" s="26">
        <v>45081</v>
      </c>
      <c r="G6" s="27">
        <v>7196000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45080</v>
      </c>
      <c r="B7" t="s">
        <v>248</v>
      </c>
      <c r="C7" s="22">
        <v>16</v>
      </c>
      <c r="D7" s="23">
        <v>32500</v>
      </c>
      <c r="E7" s="23">
        <f t="shared" si="0"/>
        <v>520000</v>
      </c>
      <c r="F7" s="26">
        <v>45083</v>
      </c>
      <c r="G7" s="27">
        <v>10300000</v>
      </c>
    </row>
    <row r="8" spans="1:11" ht="15.75" thickBot="1" x14ac:dyDescent="0.3">
      <c r="A8" s="21">
        <v>45080</v>
      </c>
      <c r="B8" t="s">
        <v>238</v>
      </c>
      <c r="C8" s="22">
        <v>100</v>
      </c>
      <c r="D8" s="23">
        <v>35000</v>
      </c>
      <c r="E8" s="23">
        <f t="shared" si="0"/>
        <v>3500000</v>
      </c>
      <c r="F8" s="26">
        <v>45084</v>
      </c>
      <c r="G8" s="27">
        <v>5170000</v>
      </c>
      <c r="I8" s="29" t="s">
        <v>15</v>
      </c>
      <c r="J8" s="30">
        <f>I3-J6</f>
        <v>-17610000</v>
      </c>
    </row>
    <row r="9" spans="1:11" x14ac:dyDescent="0.25">
      <c r="A9" s="21">
        <v>45080</v>
      </c>
      <c r="B9" t="s">
        <v>197</v>
      </c>
      <c r="C9" s="22">
        <v>102</v>
      </c>
      <c r="D9" s="23">
        <v>35000</v>
      </c>
      <c r="E9" s="23">
        <f t="shared" si="0"/>
        <v>3570000</v>
      </c>
      <c r="F9" s="26">
        <v>45085</v>
      </c>
      <c r="G9" s="27">
        <v>7900000</v>
      </c>
    </row>
    <row r="10" spans="1:11" ht="15.75" thickBot="1" x14ac:dyDescent="0.3">
      <c r="A10" s="43">
        <v>45081</v>
      </c>
      <c r="B10" t="s">
        <v>238</v>
      </c>
      <c r="C10" s="22">
        <v>188</v>
      </c>
      <c r="D10" s="20">
        <v>35000</v>
      </c>
      <c r="E10" s="20">
        <f t="shared" si="0"/>
        <v>6580000</v>
      </c>
      <c r="F10" s="26">
        <v>45086</v>
      </c>
      <c r="G10" s="27">
        <v>10150000</v>
      </c>
    </row>
    <row r="11" spans="1:11" ht="15.75" thickBot="1" x14ac:dyDescent="0.3">
      <c r="A11" s="21">
        <v>45083</v>
      </c>
      <c r="B11" t="s">
        <v>248</v>
      </c>
      <c r="C11" s="22">
        <v>160</v>
      </c>
      <c r="D11" s="23">
        <v>32500</v>
      </c>
      <c r="E11" s="23">
        <f t="shared" si="0"/>
        <v>5200000</v>
      </c>
      <c r="F11" s="26">
        <v>45087</v>
      </c>
      <c r="G11" s="27">
        <v>6600000</v>
      </c>
      <c r="I11" s="54" t="s">
        <v>66</v>
      </c>
      <c r="J11" s="55"/>
    </row>
    <row r="12" spans="1:11" x14ac:dyDescent="0.25">
      <c r="A12" s="21">
        <v>45083</v>
      </c>
      <c r="B12" t="s">
        <v>244</v>
      </c>
      <c r="C12" s="22">
        <v>80</v>
      </c>
      <c r="D12" s="23">
        <v>42000</v>
      </c>
      <c r="E12" s="23">
        <f t="shared" si="0"/>
        <v>3360000</v>
      </c>
      <c r="F12" s="26">
        <v>45088</v>
      </c>
      <c r="G12" s="27">
        <v>8202000</v>
      </c>
    </row>
    <row r="13" spans="1:11" x14ac:dyDescent="0.25">
      <c r="A13" s="21">
        <v>45084</v>
      </c>
      <c r="B13" t="s">
        <v>197</v>
      </c>
      <c r="C13" s="22">
        <v>60</v>
      </c>
      <c r="D13" s="23">
        <v>35000</v>
      </c>
      <c r="E13" s="23">
        <f t="shared" si="0"/>
        <v>2100000</v>
      </c>
      <c r="F13" s="26">
        <v>45090</v>
      </c>
      <c r="G13" s="27">
        <v>11800000</v>
      </c>
    </row>
    <row r="14" spans="1:11" ht="15.75" thickBot="1" x14ac:dyDescent="0.3">
      <c r="A14" s="21">
        <v>45084</v>
      </c>
      <c r="B14" t="s">
        <v>244</v>
      </c>
      <c r="C14" s="22">
        <v>80</v>
      </c>
      <c r="D14" s="23">
        <v>42000</v>
      </c>
      <c r="E14" s="23">
        <f t="shared" si="0"/>
        <v>3360000</v>
      </c>
      <c r="F14" s="26">
        <v>45091</v>
      </c>
      <c r="G14" s="27">
        <v>7300000</v>
      </c>
    </row>
    <row r="15" spans="1:11" x14ac:dyDescent="0.25">
      <c r="A15" s="21">
        <v>45085</v>
      </c>
      <c r="B15" t="s">
        <v>238</v>
      </c>
      <c r="C15" s="22">
        <v>52</v>
      </c>
      <c r="D15" s="23">
        <v>35000</v>
      </c>
      <c r="E15" s="23">
        <f t="shared" si="0"/>
        <v>1820000</v>
      </c>
      <c r="F15" s="26">
        <v>45092</v>
      </c>
      <c r="G15" s="27">
        <v>18000000</v>
      </c>
      <c r="I15" s="114"/>
      <c r="J15" s="115"/>
    </row>
    <row r="16" spans="1:11" ht="15.75" thickBot="1" x14ac:dyDescent="0.3">
      <c r="A16" s="21">
        <v>45085</v>
      </c>
      <c r="B16" t="s">
        <v>197</v>
      </c>
      <c r="C16" s="22">
        <v>76</v>
      </c>
      <c r="D16" s="23">
        <v>35000</v>
      </c>
      <c r="E16" s="23">
        <f t="shared" si="0"/>
        <v>2660000</v>
      </c>
      <c r="F16" s="26">
        <v>45093</v>
      </c>
      <c r="G16" s="27">
        <v>9400000</v>
      </c>
      <c r="I16" s="80"/>
      <c r="J16" s="81"/>
    </row>
    <row r="17" spans="1:7" x14ac:dyDescent="0.25">
      <c r="A17" s="21">
        <v>45085</v>
      </c>
      <c r="B17" t="s">
        <v>248</v>
      </c>
      <c r="C17" s="22">
        <v>80</v>
      </c>
      <c r="D17" s="23">
        <v>32500</v>
      </c>
      <c r="E17" s="23">
        <f t="shared" si="0"/>
        <v>2600000</v>
      </c>
      <c r="F17" s="26">
        <v>45094</v>
      </c>
      <c r="G17" s="27">
        <v>4750000</v>
      </c>
    </row>
    <row r="18" spans="1:7" x14ac:dyDescent="0.25">
      <c r="A18" s="21">
        <v>45086</v>
      </c>
      <c r="B18" t="s">
        <v>238</v>
      </c>
      <c r="C18" s="22">
        <v>78</v>
      </c>
      <c r="D18" s="23">
        <v>35000</v>
      </c>
      <c r="E18" s="23">
        <f t="shared" si="0"/>
        <v>2730000</v>
      </c>
      <c r="F18" s="26">
        <v>45095</v>
      </c>
      <c r="G18" s="27">
        <v>5685000</v>
      </c>
    </row>
    <row r="19" spans="1:7" x14ac:dyDescent="0.25">
      <c r="A19" s="21">
        <v>45086</v>
      </c>
      <c r="B19" t="s">
        <v>244</v>
      </c>
      <c r="C19" s="22">
        <v>58</v>
      </c>
      <c r="D19" s="23">
        <v>42000</v>
      </c>
      <c r="E19" s="23">
        <f t="shared" si="0"/>
        <v>2436000</v>
      </c>
      <c r="F19" s="45">
        <v>45097</v>
      </c>
      <c r="G19" s="17">
        <v>9700000</v>
      </c>
    </row>
    <row r="20" spans="1:7" x14ac:dyDescent="0.25">
      <c r="A20" s="43">
        <v>45086</v>
      </c>
      <c r="B20" t="s">
        <v>197</v>
      </c>
      <c r="C20" s="22">
        <v>82</v>
      </c>
      <c r="D20" s="20">
        <v>35000</v>
      </c>
      <c r="E20" s="96">
        <f t="shared" si="0"/>
        <v>2870000</v>
      </c>
      <c r="F20" s="26">
        <v>45098</v>
      </c>
      <c r="G20" s="27">
        <v>13000000</v>
      </c>
    </row>
    <row r="21" spans="1:7" x14ac:dyDescent="0.25">
      <c r="A21" s="21">
        <v>45087</v>
      </c>
      <c r="B21" t="s">
        <v>238</v>
      </c>
      <c r="C21" s="22">
        <v>54</v>
      </c>
      <c r="D21" s="23">
        <v>35000</v>
      </c>
      <c r="E21" s="23">
        <f t="shared" si="0"/>
        <v>1890000</v>
      </c>
      <c r="F21" s="26">
        <v>45099</v>
      </c>
      <c r="G21" s="27">
        <v>8500000</v>
      </c>
    </row>
    <row r="22" spans="1:7" x14ac:dyDescent="0.25">
      <c r="A22" s="21">
        <v>106</v>
      </c>
      <c r="B22" t="s">
        <v>197</v>
      </c>
      <c r="C22" s="22">
        <v>81</v>
      </c>
      <c r="D22" s="23">
        <v>35000</v>
      </c>
      <c r="E22" s="23">
        <f t="shared" si="0"/>
        <v>2835000</v>
      </c>
      <c r="F22" s="26">
        <v>45100</v>
      </c>
      <c r="G22" s="27">
        <v>9100000</v>
      </c>
    </row>
    <row r="23" spans="1:7" x14ac:dyDescent="0.25">
      <c r="A23" s="21">
        <v>45087</v>
      </c>
      <c r="B23" t="s">
        <v>244</v>
      </c>
      <c r="C23" s="22">
        <v>58</v>
      </c>
      <c r="D23" s="23">
        <v>42000</v>
      </c>
      <c r="E23" s="23">
        <f t="shared" si="0"/>
        <v>2436000</v>
      </c>
      <c r="F23" s="26">
        <v>45101</v>
      </c>
      <c r="G23" s="27">
        <v>9500000</v>
      </c>
    </row>
    <row r="24" spans="1:7" x14ac:dyDescent="0.25">
      <c r="A24" s="21">
        <v>45088</v>
      </c>
      <c r="B24" t="s">
        <v>238</v>
      </c>
      <c r="C24" s="22">
        <v>118</v>
      </c>
      <c r="D24" s="23">
        <v>35000</v>
      </c>
      <c r="E24" s="23">
        <f t="shared" si="0"/>
        <v>4130000</v>
      </c>
      <c r="F24" s="26">
        <v>45102</v>
      </c>
      <c r="G24" s="27">
        <v>8225000</v>
      </c>
    </row>
    <row r="25" spans="1:7" x14ac:dyDescent="0.25">
      <c r="A25" s="21">
        <v>45088</v>
      </c>
      <c r="B25" t="s">
        <v>197</v>
      </c>
      <c r="C25" s="22">
        <v>21</v>
      </c>
      <c r="D25" s="23">
        <v>35000</v>
      </c>
      <c r="E25" s="23">
        <f t="shared" si="0"/>
        <v>735000</v>
      </c>
      <c r="F25" s="26">
        <v>45104</v>
      </c>
      <c r="G25" s="27">
        <v>3800000</v>
      </c>
    </row>
    <row r="26" spans="1:7" x14ac:dyDescent="0.25">
      <c r="A26" s="21">
        <v>45088</v>
      </c>
      <c r="B26" t="s">
        <v>248</v>
      </c>
      <c r="C26" s="22">
        <v>60</v>
      </c>
      <c r="D26" s="23">
        <v>32500</v>
      </c>
      <c r="E26" s="23">
        <f t="shared" si="0"/>
        <v>1950000</v>
      </c>
      <c r="F26" s="26">
        <v>45106</v>
      </c>
      <c r="G26" s="27">
        <v>4750000</v>
      </c>
    </row>
    <row r="27" spans="1:7" x14ac:dyDescent="0.25">
      <c r="A27" s="21">
        <v>45090</v>
      </c>
      <c r="B27" t="s">
        <v>238</v>
      </c>
      <c r="C27" s="22">
        <v>96</v>
      </c>
      <c r="D27" s="23">
        <v>35000</v>
      </c>
      <c r="E27" s="23">
        <f t="shared" si="0"/>
        <v>3360000</v>
      </c>
      <c r="F27" s="26">
        <v>45107</v>
      </c>
      <c r="G27" s="27">
        <f>2900000+1725000</f>
        <v>4625000</v>
      </c>
    </row>
    <row r="28" spans="1:7" x14ac:dyDescent="0.25">
      <c r="A28" s="21">
        <v>45090</v>
      </c>
      <c r="B28" t="s">
        <v>244</v>
      </c>
      <c r="C28" s="22">
        <v>124</v>
      </c>
      <c r="D28" s="23">
        <v>42000</v>
      </c>
      <c r="E28" s="23">
        <f t="shared" si="0"/>
        <v>5208000</v>
      </c>
      <c r="F28" s="45"/>
      <c r="G28" s="17"/>
    </row>
    <row r="29" spans="1:7" x14ac:dyDescent="0.25">
      <c r="A29" s="21">
        <v>45090</v>
      </c>
      <c r="B29" t="s">
        <v>197</v>
      </c>
      <c r="C29" s="22">
        <v>44</v>
      </c>
      <c r="D29" s="23">
        <v>35000</v>
      </c>
      <c r="E29" s="23">
        <f t="shared" si="0"/>
        <v>1540000</v>
      </c>
      <c r="F29" s="26"/>
      <c r="G29" s="27"/>
    </row>
    <row r="30" spans="1:7" x14ac:dyDescent="0.25">
      <c r="A30" s="21">
        <v>45090</v>
      </c>
      <c r="B30" t="s">
        <v>248</v>
      </c>
      <c r="C30" s="22">
        <v>42</v>
      </c>
      <c r="D30" s="23">
        <v>32500</v>
      </c>
      <c r="E30" s="23">
        <f t="shared" si="0"/>
        <v>1365000</v>
      </c>
      <c r="F30" s="26"/>
      <c r="G30" s="27"/>
    </row>
    <row r="31" spans="1:7" x14ac:dyDescent="0.25">
      <c r="A31" s="21">
        <v>45091</v>
      </c>
      <c r="B31" t="s">
        <v>248</v>
      </c>
      <c r="C31" s="22">
        <v>84</v>
      </c>
      <c r="D31" s="23">
        <v>32500</v>
      </c>
      <c r="E31" s="23">
        <f t="shared" si="0"/>
        <v>2730000</v>
      </c>
      <c r="F31" s="26"/>
      <c r="G31" s="27"/>
    </row>
    <row r="32" spans="1:7" x14ac:dyDescent="0.25">
      <c r="A32" s="43">
        <v>45091</v>
      </c>
      <c r="B32" t="s">
        <v>197</v>
      </c>
      <c r="C32" s="22">
        <v>182</v>
      </c>
      <c r="D32" s="20">
        <v>35000</v>
      </c>
      <c r="E32" s="44">
        <f t="shared" si="0"/>
        <v>6370000</v>
      </c>
      <c r="F32" s="26"/>
      <c r="G32" s="27"/>
    </row>
    <row r="33" spans="1:7" x14ac:dyDescent="0.25">
      <c r="A33" s="21">
        <v>45092</v>
      </c>
      <c r="B33" t="s">
        <v>244</v>
      </c>
      <c r="C33" s="22">
        <v>72</v>
      </c>
      <c r="D33" s="23">
        <v>42000</v>
      </c>
      <c r="E33" s="23">
        <f t="shared" si="0"/>
        <v>3024000</v>
      </c>
      <c r="F33" s="26"/>
      <c r="G33" s="27"/>
    </row>
    <row r="34" spans="1:7" x14ac:dyDescent="0.25">
      <c r="A34" s="21">
        <v>45092</v>
      </c>
      <c r="B34" t="s">
        <v>238</v>
      </c>
      <c r="C34" s="22">
        <v>100</v>
      </c>
      <c r="D34" s="23">
        <v>35000</v>
      </c>
      <c r="E34" s="23">
        <f t="shared" si="0"/>
        <v>3500000</v>
      </c>
      <c r="F34" s="26"/>
      <c r="G34" s="27"/>
    </row>
    <row r="35" spans="1:7" x14ac:dyDescent="0.25">
      <c r="A35" s="21">
        <v>45093</v>
      </c>
      <c r="B35" t="s">
        <v>197</v>
      </c>
      <c r="C35" s="22">
        <v>158</v>
      </c>
      <c r="D35" s="23">
        <v>35000</v>
      </c>
      <c r="E35" s="23">
        <f t="shared" si="0"/>
        <v>5530000</v>
      </c>
      <c r="F35" s="26"/>
      <c r="G35" s="27"/>
    </row>
    <row r="36" spans="1:7" x14ac:dyDescent="0.25">
      <c r="A36" s="21">
        <v>45093</v>
      </c>
      <c r="B36" t="s">
        <v>238</v>
      </c>
      <c r="C36" s="22">
        <v>60</v>
      </c>
      <c r="D36" s="23">
        <v>35000</v>
      </c>
      <c r="E36" s="23">
        <f t="shared" ref="E36:E67" si="1">C36*D36</f>
        <v>2100000</v>
      </c>
      <c r="F36" s="26"/>
      <c r="G36" s="27"/>
    </row>
    <row r="37" spans="1:7" x14ac:dyDescent="0.25">
      <c r="A37" s="21">
        <v>45093</v>
      </c>
      <c r="B37" t="s">
        <v>244</v>
      </c>
      <c r="C37" s="22">
        <v>50</v>
      </c>
      <c r="D37" s="23">
        <v>42000</v>
      </c>
      <c r="E37" s="23">
        <f t="shared" si="1"/>
        <v>2100000</v>
      </c>
      <c r="F37" s="26"/>
      <c r="G37" s="27"/>
    </row>
    <row r="38" spans="1:7" x14ac:dyDescent="0.25">
      <c r="A38" s="21">
        <v>45094</v>
      </c>
      <c r="B38" t="s">
        <v>244</v>
      </c>
      <c r="C38" s="22">
        <v>106</v>
      </c>
      <c r="D38" s="23">
        <v>42000</v>
      </c>
      <c r="E38" s="23">
        <f t="shared" si="1"/>
        <v>4452000</v>
      </c>
      <c r="F38" s="26"/>
      <c r="G38" s="27"/>
    </row>
    <row r="39" spans="1:7" x14ac:dyDescent="0.25">
      <c r="A39" s="21">
        <v>45094</v>
      </c>
      <c r="B39" t="s">
        <v>238</v>
      </c>
      <c r="C39" s="22">
        <v>106</v>
      </c>
      <c r="D39" s="23">
        <v>35000</v>
      </c>
      <c r="E39" s="23">
        <f t="shared" si="1"/>
        <v>3710000</v>
      </c>
      <c r="F39" s="26"/>
      <c r="G39" s="27"/>
    </row>
    <row r="40" spans="1:7" x14ac:dyDescent="0.25">
      <c r="A40" s="21">
        <v>45094</v>
      </c>
      <c r="B40" t="s">
        <v>197</v>
      </c>
      <c r="C40" s="22">
        <v>118</v>
      </c>
      <c r="D40" s="23">
        <v>35000</v>
      </c>
      <c r="E40" s="23">
        <f t="shared" si="1"/>
        <v>4130000</v>
      </c>
      <c r="F40" s="26"/>
      <c r="G40" s="27"/>
    </row>
    <row r="41" spans="1:7" x14ac:dyDescent="0.25">
      <c r="A41" s="21">
        <v>45095</v>
      </c>
      <c r="B41" t="s">
        <v>238</v>
      </c>
      <c r="C41" s="22">
        <v>60</v>
      </c>
      <c r="D41" s="23">
        <v>35000</v>
      </c>
      <c r="E41" s="23">
        <f t="shared" si="1"/>
        <v>2100000</v>
      </c>
      <c r="F41" s="45"/>
      <c r="G41" s="17"/>
    </row>
    <row r="42" spans="1:7" x14ac:dyDescent="0.25">
      <c r="A42" s="21">
        <v>45095</v>
      </c>
      <c r="B42" t="s">
        <v>197</v>
      </c>
      <c r="C42" s="22">
        <v>108</v>
      </c>
      <c r="D42" s="23">
        <v>35000</v>
      </c>
      <c r="E42" s="23">
        <f t="shared" si="1"/>
        <v>3780000</v>
      </c>
      <c r="F42" s="26"/>
      <c r="G42" s="27"/>
    </row>
    <row r="43" spans="1:7" x14ac:dyDescent="0.25">
      <c r="A43" s="21">
        <v>45097</v>
      </c>
      <c r="B43" t="s">
        <v>244</v>
      </c>
      <c r="C43" s="22">
        <v>60</v>
      </c>
      <c r="D43" s="23">
        <v>42000</v>
      </c>
      <c r="E43" s="23">
        <f t="shared" si="1"/>
        <v>2520000</v>
      </c>
      <c r="F43" s="26"/>
      <c r="G43" s="27"/>
    </row>
    <row r="44" spans="1:7" x14ac:dyDescent="0.25">
      <c r="A44" s="21">
        <v>45097</v>
      </c>
      <c r="B44" t="s">
        <v>238</v>
      </c>
      <c r="C44" s="22">
        <v>98</v>
      </c>
      <c r="D44" s="23">
        <v>35000</v>
      </c>
      <c r="E44" s="23">
        <f t="shared" si="1"/>
        <v>3430000</v>
      </c>
      <c r="F44" s="26"/>
      <c r="G44" s="27"/>
    </row>
    <row r="45" spans="1:7" x14ac:dyDescent="0.25">
      <c r="A45" s="21">
        <v>45097</v>
      </c>
      <c r="B45" t="s">
        <v>248</v>
      </c>
      <c r="C45" s="22">
        <v>94</v>
      </c>
      <c r="D45" s="23">
        <v>32500</v>
      </c>
      <c r="E45" s="23">
        <f t="shared" si="1"/>
        <v>3055000</v>
      </c>
      <c r="F45" s="85"/>
      <c r="G45" s="86"/>
    </row>
    <row r="46" spans="1:7" x14ac:dyDescent="0.25">
      <c r="A46" s="21">
        <v>45098</v>
      </c>
      <c r="B46" t="s">
        <v>238</v>
      </c>
      <c r="C46" s="22">
        <v>78</v>
      </c>
      <c r="D46" s="23">
        <v>35000</v>
      </c>
      <c r="E46" s="23">
        <f t="shared" si="1"/>
        <v>2730000</v>
      </c>
      <c r="F46" s="26"/>
      <c r="G46" s="27"/>
    </row>
    <row r="47" spans="1:7" x14ac:dyDescent="0.25">
      <c r="A47" s="21">
        <v>45098</v>
      </c>
      <c r="B47" t="s">
        <v>244</v>
      </c>
      <c r="C47" s="22">
        <v>64</v>
      </c>
      <c r="D47" s="23">
        <v>42000</v>
      </c>
      <c r="E47" s="23">
        <f t="shared" si="1"/>
        <v>2688000</v>
      </c>
      <c r="F47" s="26"/>
      <c r="G47" s="27"/>
    </row>
    <row r="48" spans="1:7" x14ac:dyDescent="0.25">
      <c r="A48" s="21">
        <v>45098</v>
      </c>
      <c r="B48" t="s">
        <v>197</v>
      </c>
      <c r="C48" s="22">
        <v>258</v>
      </c>
      <c r="D48" s="23">
        <v>35000</v>
      </c>
      <c r="E48" s="23">
        <f t="shared" si="1"/>
        <v>9030000</v>
      </c>
      <c r="F48" s="26"/>
      <c r="G48" s="27"/>
    </row>
    <row r="49" spans="1:7" x14ac:dyDescent="0.25">
      <c r="A49" s="21">
        <v>45099</v>
      </c>
      <c r="B49" t="s">
        <v>238</v>
      </c>
      <c r="C49" s="22">
        <v>100</v>
      </c>
      <c r="D49" s="23">
        <v>35000</v>
      </c>
      <c r="E49" s="23">
        <f t="shared" si="1"/>
        <v>3500000</v>
      </c>
      <c r="F49" s="45"/>
      <c r="G49" s="17"/>
    </row>
    <row r="50" spans="1:7" x14ac:dyDescent="0.25">
      <c r="A50" s="21">
        <v>45099</v>
      </c>
      <c r="B50" t="s">
        <v>244</v>
      </c>
      <c r="C50" s="22">
        <v>76</v>
      </c>
      <c r="D50" s="23">
        <v>42000</v>
      </c>
      <c r="E50" s="23">
        <f t="shared" si="1"/>
        <v>3192000</v>
      </c>
      <c r="F50" s="26"/>
      <c r="G50" s="27"/>
    </row>
    <row r="51" spans="1:7" x14ac:dyDescent="0.25">
      <c r="A51" s="21">
        <v>45099</v>
      </c>
      <c r="B51" t="s">
        <v>197</v>
      </c>
      <c r="C51" s="22">
        <v>100</v>
      </c>
      <c r="D51" s="23">
        <v>35000</v>
      </c>
      <c r="E51" s="23">
        <f t="shared" si="1"/>
        <v>3500000</v>
      </c>
      <c r="F51" s="85"/>
      <c r="G51" s="86"/>
    </row>
    <row r="52" spans="1:7" x14ac:dyDescent="0.25">
      <c r="A52" s="43">
        <v>45100</v>
      </c>
      <c r="B52" t="s">
        <v>238</v>
      </c>
      <c r="C52" s="22">
        <v>86</v>
      </c>
      <c r="D52" s="20">
        <v>35000</v>
      </c>
      <c r="E52" s="23">
        <f t="shared" si="1"/>
        <v>3010000</v>
      </c>
      <c r="F52" s="26"/>
      <c r="G52" s="27"/>
    </row>
    <row r="53" spans="1:7" x14ac:dyDescent="0.25">
      <c r="A53" s="21">
        <v>45100</v>
      </c>
      <c r="B53" t="s">
        <v>197</v>
      </c>
      <c r="C53" s="22">
        <v>134</v>
      </c>
      <c r="D53" s="23">
        <v>35000</v>
      </c>
      <c r="E53" s="23">
        <f t="shared" si="1"/>
        <v>4690000</v>
      </c>
      <c r="F53" s="26"/>
      <c r="G53" s="27"/>
    </row>
    <row r="54" spans="1:7" x14ac:dyDescent="0.25">
      <c r="A54" s="21">
        <v>45100</v>
      </c>
      <c r="B54" t="s">
        <v>248</v>
      </c>
      <c r="C54" s="22">
        <v>100</v>
      </c>
      <c r="D54" s="23">
        <v>32500</v>
      </c>
      <c r="E54" s="23">
        <f t="shared" si="1"/>
        <v>3250000</v>
      </c>
      <c r="F54" s="26"/>
      <c r="G54" s="27"/>
    </row>
    <row r="55" spans="1:7" x14ac:dyDescent="0.25">
      <c r="A55" s="21">
        <v>45101</v>
      </c>
      <c r="B55" t="s">
        <v>197</v>
      </c>
      <c r="C55" s="22">
        <v>180</v>
      </c>
      <c r="D55" s="23">
        <v>35000</v>
      </c>
      <c r="E55" s="23">
        <f t="shared" si="1"/>
        <v>6300000</v>
      </c>
      <c r="F55" s="26"/>
      <c r="G55" s="27"/>
    </row>
    <row r="56" spans="1:7" x14ac:dyDescent="0.25">
      <c r="A56" s="21">
        <v>45101</v>
      </c>
      <c r="B56" t="s">
        <v>244</v>
      </c>
      <c r="C56" s="22">
        <v>60</v>
      </c>
      <c r="D56" s="23">
        <v>42000</v>
      </c>
      <c r="E56" s="23">
        <f t="shared" si="1"/>
        <v>2520000</v>
      </c>
      <c r="F56" s="26"/>
      <c r="G56" s="27"/>
    </row>
    <row r="57" spans="1:7" x14ac:dyDescent="0.25">
      <c r="A57" s="21">
        <v>45102</v>
      </c>
      <c r="B57" t="s">
        <v>244</v>
      </c>
      <c r="C57" s="22">
        <v>112</v>
      </c>
      <c r="D57" s="23">
        <v>42000</v>
      </c>
      <c r="E57" s="23">
        <f t="shared" si="1"/>
        <v>4704000</v>
      </c>
      <c r="F57" s="94"/>
      <c r="G57" s="95"/>
    </row>
    <row r="58" spans="1:7" x14ac:dyDescent="0.25">
      <c r="A58" s="21">
        <v>45102</v>
      </c>
      <c r="B58" t="s">
        <v>238</v>
      </c>
      <c r="C58" s="22">
        <v>200</v>
      </c>
      <c r="D58" s="23">
        <v>35000</v>
      </c>
      <c r="E58" s="23">
        <f t="shared" si="1"/>
        <v>7000000</v>
      </c>
      <c r="F58" s="26"/>
      <c r="G58" s="27"/>
    </row>
    <row r="59" spans="1:7" x14ac:dyDescent="0.25">
      <c r="A59" s="21">
        <v>45102</v>
      </c>
      <c r="B59" t="s">
        <v>248</v>
      </c>
      <c r="C59" s="22">
        <v>58</v>
      </c>
      <c r="D59" s="23">
        <v>32500</v>
      </c>
      <c r="E59" s="23">
        <f t="shared" si="1"/>
        <v>1885000</v>
      </c>
      <c r="F59" s="26"/>
      <c r="G59" s="27"/>
    </row>
    <row r="60" spans="1:7" x14ac:dyDescent="0.25">
      <c r="A60" s="21">
        <v>45102</v>
      </c>
      <c r="B60" t="s">
        <v>197</v>
      </c>
      <c r="C60" s="22">
        <v>108</v>
      </c>
      <c r="D60" s="23">
        <v>35000</v>
      </c>
      <c r="E60" s="23">
        <f t="shared" si="1"/>
        <v>3780000</v>
      </c>
      <c r="F60" s="26"/>
      <c r="G60" s="27"/>
    </row>
    <row r="61" spans="1:7" x14ac:dyDescent="0.25">
      <c r="A61" s="21">
        <v>45104</v>
      </c>
      <c r="B61" t="s">
        <v>238</v>
      </c>
      <c r="C61" s="22">
        <v>50</v>
      </c>
      <c r="D61" s="23">
        <v>35000</v>
      </c>
      <c r="E61" s="23">
        <f t="shared" si="1"/>
        <v>1750000</v>
      </c>
      <c r="F61" s="26"/>
      <c r="G61" s="27"/>
    </row>
    <row r="62" spans="1:7" x14ac:dyDescent="0.25">
      <c r="A62" s="21">
        <v>45104</v>
      </c>
      <c r="B62" t="s">
        <v>197</v>
      </c>
      <c r="C62" s="22">
        <v>234</v>
      </c>
      <c r="D62" s="23">
        <v>35000</v>
      </c>
      <c r="E62" s="23">
        <f t="shared" si="1"/>
        <v>8190000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ref="E68:E99" si="2">C68*D68</f>
        <v>0</v>
      </c>
      <c r="F68" s="26"/>
      <c r="G68" s="27"/>
    </row>
    <row r="69" spans="1:7" x14ac:dyDescent="0.25">
      <c r="A69" s="21"/>
      <c r="D69" s="23"/>
      <c r="E69" s="23">
        <f t="shared" si="2"/>
        <v>0</v>
      </c>
      <c r="F69" s="26"/>
      <c r="G69" s="27"/>
    </row>
    <row r="70" spans="1:7" x14ac:dyDescent="0.25">
      <c r="A70" s="21"/>
      <c r="D70" s="23"/>
      <c r="E70" s="23">
        <f t="shared" si="2"/>
        <v>0</v>
      </c>
      <c r="F70" s="26"/>
      <c r="G70" s="27"/>
    </row>
    <row r="71" spans="1:7" x14ac:dyDescent="0.25">
      <c r="A71" s="21"/>
      <c r="D71" s="23"/>
      <c r="E71" s="23">
        <f t="shared" si="2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2"/>
        <v>0</v>
      </c>
      <c r="F72" s="45"/>
    </row>
    <row r="73" spans="1:7" x14ac:dyDescent="0.25">
      <c r="A73" s="21"/>
      <c r="D73" s="23"/>
      <c r="E73" s="23">
        <f t="shared" si="2"/>
        <v>0</v>
      </c>
      <c r="F73" s="26"/>
      <c r="G73" s="27"/>
    </row>
    <row r="74" spans="1:7" x14ac:dyDescent="0.25">
      <c r="A74" s="43"/>
      <c r="E74" s="20">
        <f t="shared" si="2"/>
        <v>0</v>
      </c>
      <c r="F74" s="26"/>
      <c r="G74" s="27"/>
    </row>
    <row r="75" spans="1:7" x14ac:dyDescent="0.25">
      <c r="A75" s="21"/>
      <c r="D75" s="23"/>
      <c r="E75" s="23">
        <f t="shared" si="2"/>
        <v>0</v>
      </c>
      <c r="F75" s="26"/>
      <c r="G75" s="27"/>
    </row>
    <row r="76" spans="1:7" x14ac:dyDescent="0.25">
      <c r="A76" s="21"/>
      <c r="D76" s="23"/>
      <c r="E76" s="23">
        <f t="shared" si="2"/>
        <v>0</v>
      </c>
      <c r="F76" s="26"/>
      <c r="G76" s="27"/>
    </row>
    <row r="77" spans="1:7" x14ac:dyDescent="0.25">
      <c r="A77" s="21"/>
      <c r="D77" s="23"/>
      <c r="E77" s="23">
        <f t="shared" si="2"/>
        <v>0</v>
      </c>
      <c r="F77" s="26"/>
      <c r="G77" s="27"/>
    </row>
    <row r="78" spans="1:7" x14ac:dyDescent="0.25">
      <c r="A78" s="21"/>
      <c r="D78" s="23"/>
      <c r="E78" s="23">
        <f t="shared" si="2"/>
        <v>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220849000</v>
      </c>
      <c r="G199" s="27">
        <f>SUM(G3:G198)</f>
        <v>203083000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CE1B2-7918-2244-8461-EB3E0B091790}">
  <dimension ref="A1:K200"/>
  <sheetViews>
    <sheetView topLeftCell="A15" zoomScaleNormal="100" zoomScaleSheetLayoutView="100" workbookViewId="0">
      <selection activeCell="I26" sqref="I26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'2023.1'!I3</f>
        <v>9795000</v>
      </c>
      <c r="F3" s="26">
        <v>45048</v>
      </c>
      <c r="G3" s="27">
        <v>4250000</v>
      </c>
      <c r="I3" s="110">
        <f>E199-G199</f>
        <v>16714000</v>
      </c>
      <c r="J3" s="111"/>
    </row>
    <row r="4" spans="1:11" x14ac:dyDescent="0.25">
      <c r="A4" s="21">
        <v>45048</v>
      </c>
      <c r="B4" t="s">
        <v>238</v>
      </c>
      <c r="C4" s="22">
        <v>40</v>
      </c>
      <c r="D4" s="23">
        <v>35000</v>
      </c>
      <c r="E4" s="23">
        <f t="shared" ref="E4:E35" si="0">C4*D4</f>
        <v>1400000</v>
      </c>
      <c r="F4" s="26">
        <v>45049</v>
      </c>
      <c r="G4" s="27">
        <v>3700000</v>
      </c>
      <c r="I4" s="89" t="s">
        <v>132</v>
      </c>
      <c r="J4" s="90">
        <v>11400</v>
      </c>
    </row>
    <row r="5" spans="1:11" ht="15.75" thickBot="1" x14ac:dyDescent="0.3">
      <c r="A5" s="21">
        <v>45049</v>
      </c>
      <c r="B5" t="s">
        <v>244</v>
      </c>
      <c r="C5" s="22">
        <v>116</v>
      </c>
      <c r="D5" s="23">
        <v>42000</v>
      </c>
      <c r="E5" s="67">
        <f t="shared" si="0"/>
        <v>4872000</v>
      </c>
      <c r="F5" s="26">
        <v>45050</v>
      </c>
      <c r="G5" s="27">
        <v>6700000</v>
      </c>
      <c r="I5" s="112">
        <f>I3/J4</f>
        <v>1466.140350877193</v>
      </c>
      <c r="J5" s="113"/>
    </row>
    <row r="6" spans="1:11" ht="15.75" thickBot="1" x14ac:dyDescent="0.3">
      <c r="A6" s="21">
        <v>45049</v>
      </c>
      <c r="B6" t="s">
        <v>238</v>
      </c>
      <c r="C6" s="22">
        <v>96</v>
      </c>
      <c r="D6" s="23">
        <v>35000</v>
      </c>
      <c r="E6" s="23">
        <f t="shared" si="0"/>
        <v>3360000</v>
      </c>
      <c r="F6" s="26">
        <v>45051</v>
      </c>
      <c r="G6" s="27">
        <v>4450000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45049</v>
      </c>
      <c r="B7" t="s">
        <v>245</v>
      </c>
      <c r="C7" s="22">
        <v>52</v>
      </c>
      <c r="D7" s="23">
        <v>32000</v>
      </c>
      <c r="E7" s="23">
        <f t="shared" si="0"/>
        <v>1664000</v>
      </c>
      <c r="F7" s="26">
        <v>45052</v>
      </c>
      <c r="G7" s="27">
        <v>5450000</v>
      </c>
    </row>
    <row r="8" spans="1:11" ht="15.75" thickBot="1" x14ac:dyDescent="0.3">
      <c r="A8" s="21">
        <v>45050</v>
      </c>
      <c r="B8" t="s">
        <v>245</v>
      </c>
      <c r="C8" s="22">
        <v>100</v>
      </c>
      <c r="D8" s="23">
        <v>32000</v>
      </c>
      <c r="E8" s="23">
        <f t="shared" si="0"/>
        <v>3200000</v>
      </c>
      <c r="F8" s="85">
        <v>45053</v>
      </c>
      <c r="G8" s="86">
        <v>6573000</v>
      </c>
      <c r="I8" s="29" t="s">
        <v>15</v>
      </c>
      <c r="J8" s="30">
        <f>I3-J6</f>
        <v>-18662000</v>
      </c>
    </row>
    <row r="9" spans="1:11" x14ac:dyDescent="0.25">
      <c r="A9" s="21">
        <v>45050</v>
      </c>
      <c r="B9" t="s">
        <v>246</v>
      </c>
      <c r="C9" s="22">
        <v>64</v>
      </c>
      <c r="D9" s="23">
        <v>34000</v>
      </c>
      <c r="E9" s="23">
        <f t="shared" si="0"/>
        <v>2176000</v>
      </c>
      <c r="F9" s="26">
        <v>45055</v>
      </c>
      <c r="G9" s="27">
        <v>3800000</v>
      </c>
    </row>
    <row r="10" spans="1:11" ht="15.75" thickBot="1" x14ac:dyDescent="0.3">
      <c r="A10" s="43">
        <v>45051</v>
      </c>
      <c r="B10" t="s">
        <v>245</v>
      </c>
      <c r="C10" s="22">
        <v>60</v>
      </c>
      <c r="D10" s="20">
        <v>32000</v>
      </c>
      <c r="E10" s="20">
        <f t="shared" si="0"/>
        <v>1920000</v>
      </c>
      <c r="F10" s="26">
        <v>45056</v>
      </c>
      <c r="G10" s="27">
        <v>1232000</v>
      </c>
    </row>
    <row r="11" spans="1:11" ht="15.75" thickBot="1" x14ac:dyDescent="0.3">
      <c r="A11" s="21">
        <v>45051</v>
      </c>
      <c r="B11" t="s">
        <v>238</v>
      </c>
      <c r="C11" s="22">
        <v>44</v>
      </c>
      <c r="D11" s="23">
        <v>35000</v>
      </c>
      <c r="E11" s="23">
        <f t="shared" si="0"/>
        <v>1540000</v>
      </c>
      <c r="F11" s="26">
        <v>45057</v>
      </c>
      <c r="G11" s="27">
        <v>4150000</v>
      </c>
      <c r="I11" s="54" t="s">
        <v>66</v>
      </c>
      <c r="J11" s="55"/>
    </row>
    <row r="12" spans="1:11" x14ac:dyDescent="0.25">
      <c r="A12" s="21">
        <v>45052</v>
      </c>
      <c r="B12" t="s">
        <v>238</v>
      </c>
      <c r="C12" s="22">
        <v>110</v>
      </c>
      <c r="D12" s="23">
        <v>35000</v>
      </c>
      <c r="E12" s="23">
        <f t="shared" si="0"/>
        <v>3850000</v>
      </c>
      <c r="F12" s="26">
        <v>45058</v>
      </c>
      <c r="G12" s="27">
        <v>8350000</v>
      </c>
    </row>
    <row r="13" spans="1:11" x14ac:dyDescent="0.25">
      <c r="A13" s="21">
        <v>45052</v>
      </c>
      <c r="B13" t="s">
        <v>245</v>
      </c>
      <c r="C13" s="22">
        <v>44</v>
      </c>
      <c r="D13" s="23">
        <v>32000</v>
      </c>
      <c r="E13" s="23">
        <f t="shared" si="0"/>
        <v>1408000</v>
      </c>
      <c r="F13" s="26">
        <v>45059</v>
      </c>
      <c r="G13" s="27">
        <v>5000000</v>
      </c>
    </row>
    <row r="14" spans="1:11" ht="15.75" thickBot="1" x14ac:dyDescent="0.3">
      <c r="A14" s="21">
        <v>45052</v>
      </c>
      <c r="B14" t="s">
        <v>246</v>
      </c>
      <c r="C14" s="22">
        <v>72</v>
      </c>
      <c r="D14" s="23">
        <v>34000</v>
      </c>
      <c r="E14" s="23">
        <f t="shared" si="0"/>
        <v>2448000</v>
      </c>
      <c r="F14" s="85">
        <v>45060</v>
      </c>
      <c r="G14" s="86">
        <v>6150000</v>
      </c>
    </row>
    <row r="15" spans="1:11" x14ac:dyDescent="0.25">
      <c r="A15" s="21">
        <v>45053</v>
      </c>
      <c r="B15" t="s">
        <v>244</v>
      </c>
      <c r="C15" s="22">
        <v>38</v>
      </c>
      <c r="D15" s="23">
        <v>42000</v>
      </c>
      <c r="E15" s="23">
        <f t="shared" si="0"/>
        <v>1596000</v>
      </c>
      <c r="F15" s="26">
        <v>45062</v>
      </c>
      <c r="G15" s="27">
        <v>5400000</v>
      </c>
      <c r="I15" s="114"/>
      <c r="J15" s="115"/>
    </row>
    <row r="16" spans="1:11" ht="15.75" thickBot="1" x14ac:dyDescent="0.3">
      <c r="A16" s="21">
        <v>45053</v>
      </c>
      <c r="B16" t="s">
        <v>238</v>
      </c>
      <c r="C16" s="22">
        <v>102</v>
      </c>
      <c r="D16" s="23">
        <v>35000</v>
      </c>
      <c r="E16" s="23">
        <f t="shared" si="0"/>
        <v>3570000</v>
      </c>
      <c r="F16" s="26">
        <v>45063</v>
      </c>
      <c r="G16" s="27">
        <v>3800000</v>
      </c>
      <c r="I16" s="80"/>
      <c r="J16" s="81"/>
    </row>
    <row r="17" spans="1:7" x14ac:dyDescent="0.25">
      <c r="A17" s="21">
        <v>45055</v>
      </c>
      <c r="B17" t="s">
        <v>197</v>
      </c>
      <c r="C17" s="22">
        <v>120</v>
      </c>
      <c r="D17" s="23">
        <v>35000</v>
      </c>
      <c r="E17" s="23">
        <f t="shared" si="0"/>
        <v>4200000</v>
      </c>
      <c r="F17" s="26">
        <v>45064</v>
      </c>
      <c r="G17" s="27">
        <v>3800000</v>
      </c>
    </row>
    <row r="18" spans="1:7" x14ac:dyDescent="0.25">
      <c r="A18" s="21">
        <v>44967</v>
      </c>
      <c r="B18" t="s">
        <v>238</v>
      </c>
      <c r="C18" s="22">
        <v>164</v>
      </c>
      <c r="D18" s="23">
        <v>35000</v>
      </c>
      <c r="E18" s="23">
        <f t="shared" si="0"/>
        <v>5740000</v>
      </c>
      <c r="F18" s="26">
        <v>45065</v>
      </c>
      <c r="G18" s="27">
        <v>9500000</v>
      </c>
    </row>
    <row r="19" spans="1:7" x14ac:dyDescent="0.25">
      <c r="A19" s="21">
        <v>45057</v>
      </c>
      <c r="B19" t="s">
        <v>238</v>
      </c>
      <c r="C19" s="22">
        <v>72</v>
      </c>
      <c r="D19" s="23">
        <v>35000</v>
      </c>
      <c r="E19" s="23">
        <f t="shared" si="0"/>
        <v>2520000</v>
      </c>
      <c r="F19" s="45">
        <v>45066</v>
      </c>
      <c r="G19" s="17">
        <v>3000000</v>
      </c>
    </row>
    <row r="20" spans="1:7" x14ac:dyDescent="0.25">
      <c r="A20" s="43">
        <v>45057</v>
      </c>
      <c r="B20" t="s">
        <v>197</v>
      </c>
      <c r="C20" s="22">
        <v>50</v>
      </c>
      <c r="D20" s="20">
        <v>35000</v>
      </c>
      <c r="E20" s="96">
        <f t="shared" si="0"/>
        <v>1750000</v>
      </c>
      <c r="F20" s="85">
        <v>45067</v>
      </c>
      <c r="G20" s="86">
        <v>7933000</v>
      </c>
    </row>
    <row r="21" spans="1:7" x14ac:dyDescent="0.25">
      <c r="A21" s="21">
        <v>45058</v>
      </c>
      <c r="B21" t="s">
        <v>244</v>
      </c>
      <c r="C21" s="22">
        <v>66</v>
      </c>
      <c r="D21" s="23">
        <v>42000</v>
      </c>
      <c r="E21" s="23">
        <f t="shared" si="0"/>
        <v>2772000</v>
      </c>
      <c r="F21" s="26">
        <v>45069</v>
      </c>
      <c r="G21" s="27">
        <v>7000000</v>
      </c>
    </row>
    <row r="22" spans="1:7" x14ac:dyDescent="0.25">
      <c r="A22" s="21">
        <v>45059</v>
      </c>
      <c r="B22" t="s">
        <v>245</v>
      </c>
      <c r="C22" s="22">
        <v>190</v>
      </c>
      <c r="D22" s="23">
        <v>32000</v>
      </c>
      <c r="E22" s="23">
        <f t="shared" si="0"/>
        <v>6080000</v>
      </c>
      <c r="F22" s="26">
        <v>45070</v>
      </c>
      <c r="G22" s="27">
        <v>4700000</v>
      </c>
    </row>
    <row r="23" spans="1:7" x14ac:dyDescent="0.25">
      <c r="A23" s="21">
        <v>45059</v>
      </c>
      <c r="B23" t="s">
        <v>197</v>
      </c>
      <c r="C23" s="22">
        <v>76</v>
      </c>
      <c r="D23" s="23">
        <v>35000</v>
      </c>
      <c r="E23" s="23">
        <f t="shared" si="0"/>
        <v>2660000</v>
      </c>
      <c r="F23" s="26">
        <v>45071</v>
      </c>
      <c r="G23" s="27">
        <v>9750000</v>
      </c>
    </row>
    <row r="24" spans="1:7" x14ac:dyDescent="0.25">
      <c r="A24" s="21">
        <v>45060</v>
      </c>
      <c r="B24" t="s">
        <v>238</v>
      </c>
      <c r="C24" s="22">
        <v>104</v>
      </c>
      <c r="D24" s="23">
        <v>35000</v>
      </c>
      <c r="E24" s="23">
        <f t="shared" si="0"/>
        <v>3640000</v>
      </c>
      <c r="F24" s="26">
        <v>45072</v>
      </c>
      <c r="G24" s="27">
        <v>10400000</v>
      </c>
    </row>
    <row r="25" spans="1:7" x14ac:dyDescent="0.25">
      <c r="A25" s="21">
        <v>45060</v>
      </c>
      <c r="B25" t="s">
        <v>246</v>
      </c>
      <c r="C25" s="22">
        <v>72</v>
      </c>
      <c r="D25" s="23">
        <v>34000</v>
      </c>
      <c r="E25" s="23">
        <f t="shared" si="0"/>
        <v>2448000</v>
      </c>
      <c r="F25" s="26">
        <v>45073</v>
      </c>
      <c r="G25" s="27">
        <f>200*11450</f>
        <v>2290000</v>
      </c>
    </row>
    <row r="26" spans="1:7" x14ac:dyDescent="0.25">
      <c r="A26" s="21">
        <v>45062</v>
      </c>
      <c r="B26" t="s">
        <v>245</v>
      </c>
      <c r="C26" s="22">
        <v>72</v>
      </c>
      <c r="D26" s="23">
        <v>32000</v>
      </c>
      <c r="E26" s="23">
        <f t="shared" si="0"/>
        <v>2304000</v>
      </c>
      <c r="F26" s="85">
        <v>45074</v>
      </c>
      <c r="G26" s="86">
        <v>4800000</v>
      </c>
    </row>
    <row r="27" spans="1:7" x14ac:dyDescent="0.25">
      <c r="A27" s="21">
        <v>45062</v>
      </c>
      <c r="B27" t="s">
        <v>238</v>
      </c>
      <c r="C27" s="22">
        <v>104</v>
      </c>
      <c r="D27" s="23">
        <v>35000</v>
      </c>
      <c r="E27" s="23">
        <f t="shared" si="0"/>
        <v>3640000</v>
      </c>
      <c r="F27" s="26">
        <v>45076</v>
      </c>
      <c r="G27" s="27">
        <v>7665000</v>
      </c>
    </row>
    <row r="28" spans="1:7" x14ac:dyDescent="0.25">
      <c r="A28" s="21">
        <v>45062</v>
      </c>
      <c r="B28" t="s">
        <v>244</v>
      </c>
      <c r="C28" s="22">
        <v>124</v>
      </c>
      <c r="D28" s="23">
        <v>42000</v>
      </c>
      <c r="E28" s="23">
        <f t="shared" si="0"/>
        <v>5208000</v>
      </c>
      <c r="F28" s="45">
        <v>45077</v>
      </c>
      <c r="G28" s="17">
        <v>2550000</v>
      </c>
    </row>
    <row r="29" spans="1:7" x14ac:dyDescent="0.25">
      <c r="A29" s="21">
        <v>45063</v>
      </c>
      <c r="B29" t="s">
        <v>238</v>
      </c>
      <c r="C29" s="22">
        <v>30</v>
      </c>
      <c r="D29" s="23">
        <v>35000</v>
      </c>
      <c r="E29" s="23">
        <f t="shared" si="0"/>
        <v>1050000</v>
      </c>
      <c r="F29" s="26"/>
      <c r="G29" s="27"/>
    </row>
    <row r="30" spans="1:7" x14ac:dyDescent="0.25">
      <c r="A30" s="21">
        <v>45064</v>
      </c>
      <c r="B30" t="s">
        <v>238</v>
      </c>
      <c r="C30" s="22">
        <v>96</v>
      </c>
      <c r="D30" s="23">
        <v>35000</v>
      </c>
      <c r="E30" s="23">
        <f t="shared" si="0"/>
        <v>3360000</v>
      </c>
      <c r="F30" s="26"/>
      <c r="G30" s="27"/>
    </row>
    <row r="31" spans="1:7" x14ac:dyDescent="0.25">
      <c r="A31" s="21">
        <v>45065</v>
      </c>
      <c r="B31" t="s">
        <v>244</v>
      </c>
      <c r="C31" s="22">
        <v>80</v>
      </c>
      <c r="D31" s="23">
        <v>42000</v>
      </c>
      <c r="E31" s="23">
        <f t="shared" si="0"/>
        <v>3360000</v>
      </c>
      <c r="F31" s="85"/>
      <c r="G31" s="86"/>
    </row>
    <row r="32" spans="1:7" x14ac:dyDescent="0.25">
      <c r="A32" s="43">
        <v>45065</v>
      </c>
      <c r="B32" t="s">
        <v>197</v>
      </c>
      <c r="C32" s="22">
        <v>98</v>
      </c>
      <c r="D32" s="20">
        <v>35000</v>
      </c>
      <c r="E32" s="44">
        <f t="shared" si="0"/>
        <v>3430000</v>
      </c>
      <c r="F32" s="26"/>
      <c r="G32" s="27"/>
    </row>
    <row r="33" spans="1:7" x14ac:dyDescent="0.25">
      <c r="A33" s="21">
        <v>45066</v>
      </c>
      <c r="B33" t="s">
        <v>238</v>
      </c>
      <c r="C33" s="22">
        <v>68</v>
      </c>
      <c r="D33" s="23">
        <v>35000</v>
      </c>
      <c r="E33" s="23">
        <f t="shared" si="0"/>
        <v>2380000</v>
      </c>
      <c r="F33" s="26"/>
      <c r="G33" s="27"/>
    </row>
    <row r="34" spans="1:7" x14ac:dyDescent="0.25">
      <c r="A34" s="21">
        <v>45066</v>
      </c>
      <c r="B34" t="s">
        <v>197</v>
      </c>
      <c r="C34" s="22">
        <v>98</v>
      </c>
      <c r="D34" s="23">
        <v>35000</v>
      </c>
      <c r="E34" s="23">
        <f t="shared" si="0"/>
        <v>3430000</v>
      </c>
      <c r="F34" s="26"/>
      <c r="G34" s="27"/>
    </row>
    <row r="35" spans="1:7" x14ac:dyDescent="0.25">
      <c r="A35" s="21">
        <v>45067</v>
      </c>
      <c r="B35" t="s">
        <v>197</v>
      </c>
      <c r="C35" s="22">
        <v>106</v>
      </c>
      <c r="D35" s="23">
        <v>35000</v>
      </c>
      <c r="E35" s="23">
        <f t="shared" si="0"/>
        <v>3710000</v>
      </c>
      <c r="F35" s="26"/>
      <c r="G35" s="27"/>
    </row>
    <row r="36" spans="1:7" x14ac:dyDescent="0.25">
      <c r="A36" s="21">
        <v>45067</v>
      </c>
      <c r="B36" t="s">
        <v>244</v>
      </c>
      <c r="C36" s="22">
        <v>98</v>
      </c>
      <c r="D36" s="23">
        <v>42000</v>
      </c>
      <c r="E36" s="23">
        <f t="shared" ref="E36:E67" si="1">C36*D36</f>
        <v>4116000</v>
      </c>
      <c r="F36" s="26"/>
      <c r="G36" s="27"/>
    </row>
    <row r="37" spans="1:7" x14ac:dyDescent="0.25">
      <c r="A37" s="21">
        <v>45069</v>
      </c>
      <c r="B37" t="s">
        <v>238</v>
      </c>
      <c r="C37" s="22">
        <v>80</v>
      </c>
      <c r="D37" s="23">
        <v>35000</v>
      </c>
      <c r="E37" s="23">
        <f t="shared" si="1"/>
        <v>2800000</v>
      </c>
      <c r="F37" s="26"/>
      <c r="G37" s="27"/>
    </row>
    <row r="38" spans="1:7" x14ac:dyDescent="0.25">
      <c r="A38" s="21">
        <v>45069</v>
      </c>
      <c r="B38" t="s">
        <v>244</v>
      </c>
      <c r="C38" s="22">
        <v>60</v>
      </c>
      <c r="D38" s="23">
        <v>42000</v>
      </c>
      <c r="E38" s="23">
        <f t="shared" si="1"/>
        <v>2520000</v>
      </c>
      <c r="F38" s="85"/>
      <c r="G38" s="86"/>
    </row>
    <row r="39" spans="1:7" x14ac:dyDescent="0.25">
      <c r="A39" s="21">
        <v>45070</v>
      </c>
      <c r="B39" t="s">
        <v>238</v>
      </c>
      <c r="C39" s="22">
        <v>80</v>
      </c>
      <c r="D39" s="23">
        <v>35000</v>
      </c>
      <c r="E39" s="23">
        <f t="shared" si="1"/>
        <v>2800000</v>
      </c>
      <c r="F39" s="26"/>
      <c r="G39" s="27"/>
    </row>
    <row r="40" spans="1:7" x14ac:dyDescent="0.25">
      <c r="A40" s="21">
        <v>45070</v>
      </c>
      <c r="B40" t="s">
        <v>197</v>
      </c>
      <c r="C40" s="22">
        <v>94</v>
      </c>
      <c r="D40" s="23">
        <v>35000</v>
      </c>
      <c r="E40" s="23">
        <f t="shared" si="1"/>
        <v>3290000</v>
      </c>
      <c r="F40" s="26"/>
      <c r="G40" s="27"/>
    </row>
    <row r="41" spans="1:7" x14ac:dyDescent="0.25">
      <c r="A41" s="21">
        <v>45071</v>
      </c>
      <c r="B41" t="s">
        <v>238</v>
      </c>
      <c r="C41" s="22">
        <v>60</v>
      </c>
      <c r="D41" s="23">
        <v>35000</v>
      </c>
      <c r="E41" s="23">
        <f t="shared" si="1"/>
        <v>2100000</v>
      </c>
      <c r="F41" s="45"/>
      <c r="G41" s="17"/>
    </row>
    <row r="42" spans="1:7" x14ac:dyDescent="0.25">
      <c r="A42" s="21">
        <v>45071</v>
      </c>
      <c r="B42" t="s">
        <v>244</v>
      </c>
      <c r="C42" s="22">
        <f>60+96</f>
        <v>156</v>
      </c>
      <c r="D42" s="23">
        <v>42000</v>
      </c>
      <c r="E42" s="23">
        <f t="shared" si="1"/>
        <v>6552000</v>
      </c>
      <c r="F42" s="26"/>
      <c r="G42" s="27"/>
    </row>
    <row r="43" spans="1:7" x14ac:dyDescent="0.25">
      <c r="A43" s="21">
        <v>45073</v>
      </c>
      <c r="B43" t="s">
        <v>238</v>
      </c>
      <c r="C43" s="22">
        <v>98</v>
      </c>
      <c r="D43" s="23">
        <v>35000</v>
      </c>
      <c r="E43" s="23">
        <f t="shared" si="1"/>
        <v>3430000</v>
      </c>
      <c r="F43" s="26"/>
      <c r="G43" s="27"/>
    </row>
    <row r="44" spans="1:7" x14ac:dyDescent="0.25">
      <c r="A44" s="21">
        <v>45073</v>
      </c>
      <c r="B44" t="s">
        <v>244</v>
      </c>
      <c r="C44" s="22">
        <v>144</v>
      </c>
      <c r="D44" s="23">
        <v>42000</v>
      </c>
      <c r="E44" s="23">
        <f t="shared" si="1"/>
        <v>6048000</v>
      </c>
      <c r="F44" s="26"/>
      <c r="G44" s="27"/>
    </row>
    <row r="45" spans="1:7" x14ac:dyDescent="0.25">
      <c r="A45" s="21">
        <v>45073</v>
      </c>
      <c r="B45" t="s">
        <v>197</v>
      </c>
      <c r="C45" s="22">
        <v>124</v>
      </c>
      <c r="D45" s="23">
        <v>35000</v>
      </c>
      <c r="E45" s="23">
        <f t="shared" si="1"/>
        <v>4340000</v>
      </c>
      <c r="F45" s="85"/>
      <c r="G45" s="86"/>
    </row>
    <row r="46" spans="1:7" x14ac:dyDescent="0.25">
      <c r="A46" s="21">
        <v>45074</v>
      </c>
      <c r="B46" t="s">
        <v>238</v>
      </c>
      <c r="C46" s="22">
        <v>74</v>
      </c>
      <c r="D46" s="23">
        <v>35000</v>
      </c>
      <c r="E46" s="23">
        <f t="shared" si="1"/>
        <v>2590000</v>
      </c>
      <c r="F46" s="26"/>
      <c r="G46" s="27"/>
    </row>
    <row r="47" spans="1:7" x14ac:dyDescent="0.25">
      <c r="A47" s="21">
        <v>45076</v>
      </c>
      <c r="B47" t="s">
        <v>244</v>
      </c>
      <c r="C47" s="22">
        <v>100</v>
      </c>
      <c r="D47" s="23">
        <v>42000</v>
      </c>
      <c r="E47" s="23">
        <f t="shared" si="1"/>
        <v>4200000</v>
      </c>
      <c r="F47" s="26"/>
      <c r="G47" s="27"/>
    </row>
    <row r="48" spans="1:7" x14ac:dyDescent="0.25">
      <c r="A48" s="21">
        <v>45076</v>
      </c>
      <c r="B48" t="s">
        <v>238</v>
      </c>
      <c r="C48" s="22">
        <v>80</v>
      </c>
      <c r="D48" s="23">
        <v>35000</v>
      </c>
      <c r="E48" s="23">
        <f t="shared" si="1"/>
        <v>2800000</v>
      </c>
      <c r="F48" s="26"/>
      <c r="G48" s="27"/>
    </row>
    <row r="49" spans="1:7" x14ac:dyDescent="0.25">
      <c r="A49" s="21">
        <v>45077</v>
      </c>
      <c r="B49" t="s">
        <v>244</v>
      </c>
      <c r="C49" s="22">
        <v>120</v>
      </c>
      <c r="D49" s="23">
        <v>42000</v>
      </c>
      <c r="E49" s="23">
        <f t="shared" si="1"/>
        <v>5040000</v>
      </c>
      <c r="F49" s="45"/>
      <c r="G49" s="17"/>
    </row>
    <row r="50" spans="1:7" x14ac:dyDescent="0.25">
      <c r="A50" s="21"/>
      <c r="D50" s="23"/>
      <c r="E50" s="23">
        <f t="shared" si="1"/>
        <v>0</v>
      </c>
      <c r="F50" s="26"/>
      <c r="G50" s="27"/>
    </row>
    <row r="51" spans="1:7" x14ac:dyDescent="0.25">
      <c r="A51" s="21"/>
      <c r="D51" s="23"/>
      <c r="E51" s="23">
        <f t="shared" si="1"/>
        <v>0</v>
      </c>
      <c r="F51" s="85"/>
      <c r="G51" s="86"/>
    </row>
    <row r="52" spans="1:7" x14ac:dyDescent="0.25">
      <c r="A52" s="43"/>
      <c r="E52" s="23">
        <f t="shared" si="1"/>
        <v>0</v>
      </c>
      <c r="F52" s="26"/>
      <c r="G52" s="27"/>
    </row>
    <row r="53" spans="1:7" x14ac:dyDescent="0.25">
      <c r="A53" s="21"/>
      <c r="D53" s="23"/>
      <c r="E53" s="23">
        <f t="shared" si="1"/>
        <v>0</v>
      </c>
      <c r="F53" s="26"/>
      <c r="G53" s="27"/>
    </row>
    <row r="54" spans="1:7" x14ac:dyDescent="0.25">
      <c r="A54" s="21"/>
      <c r="D54" s="23"/>
      <c r="E54" s="23">
        <f t="shared" si="1"/>
        <v>0</v>
      </c>
      <c r="F54" s="26"/>
      <c r="G54" s="27"/>
    </row>
    <row r="55" spans="1:7" x14ac:dyDescent="0.25">
      <c r="A55" s="21"/>
      <c r="D55" s="23"/>
      <c r="E55" s="23">
        <f t="shared" si="1"/>
        <v>0</v>
      </c>
      <c r="F55" s="26"/>
      <c r="G55" s="27"/>
    </row>
    <row r="56" spans="1:7" x14ac:dyDescent="0.25">
      <c r="A56" s="21"/>
      <c r="D56" s="23"/>
      <c r="E56" s="23">
        <f t="shared" si="1"/>
        <v>0</v>
      </c>
      <c r="F56" s="26"/>
      <c r="G56" s="27"/>
    </row>
    <row r="57" spans="1:7" x14ac:dyDescent="0.25">
      <c r="A57" s="21"/>
      <c r="D57" s="23"/>
      <c r="E57" s="23">
        <f t="shared" si="1"/>
        <v>0</v>
      </c>
      <c r="F57" s="94"/>
      <c r="G57" s="95"/>
    </row>
    <row r="58" spans="1:7" x14ac:dyDescent="0.25">
      <c r="A58" s="21"/>
      <c r="D58" s="23"/>
      <c r="E58" s="23">
        <f t="shared" si="1"/>
        <v>0</v>
      </c>
      <c r="F58" s="26"/>
      <c r="G58" s="27"/>
    </row>
    <row r="59" spans="1:7" x14ac:dyDescent="0.25">
      <c r="A59" s="21"/>
      <c r="D59" s="23"/>
      <c r="E59" s="23">
        <f t="shared" si="1"/>
        <v>0</v>
      </c>
      <c r="F59" s="26"/>
      <c r="G59" s="27"/>
    </row>
    <row r="60" spans="1:7" x14ac:dyDescent="0.25">
      <c r="A60" s="21"/>
      <c r="D60" s="23"/>
      <c r="E60" s="23">
        <f t="shared" si="1"/>
        <v>0</v>
      </c>
      <c r="F60" s="26"/>
      <c r="G60" s="27"/>
    </row>
    <row r="61" spans="1:7" x14ac:dyDescent="0.25">
      <c r="A61" s="21"/>
      <c r="D61" s="23"/>
      <c r="E61" s="23">
        <f t="shared" si="1"/>
        <v>0</v>
      </c>
      <c r="F61" s="26"/>
      <c r="G61" s="27"/>
    </row>
    <row r="62" spans="1:7" x14ac:dyDescent="0.25">
      <c r="A62" s="21"/>
      <c r="D62" s="23"/>
      <c r="E62" s="23">
        <f t="shared" si="1"/>
        <v>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ref="E68:E99" si="2">C68*D68</f>
        <v>0</v>
      </c>
      <c r="F68" s="26"/>
      <c r="G68" s="27"/>
    </row>
    <row r="69" spans="1:7" x14ac:dyDescent="0.25">
      <c r="A69" s="21"/>
      <c r="D69" s="23"/>
      <c r="E69" s="23">
        <f t="shared" si="2"/>
        <v>0</v>
      </c>
      <c r="F69" s="26"/>
      <c r="G69" s="27"/>
    </row>
    <row r="70" spans="1:7" x14ac:dyDescent="0.25">
      <c r="A70" s="21"/>
      <c r="D70" s="23"/>
      <c r="E70" s="23">
        <f t="shared" si="2"/>
        <v>0</v>
      </c>
      <c r="F70" s="26"/>
      <c r="G70" s="27"/>
    </row>
    <row r="71" spans="1:7" x14ac:dyDescent="0.25">
      <c r="A71" s="21"/>
      <c r="D71" s="23"/>
      <c r="E71" s="23">
        <f t="shared" si="2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2"/>
        <v>0</v>
      </c>
      <c r="F72" s="45"/>
    </row>
    <row r="73" spans="1:7" x14ac:dyDescent="0.25">
      <c r="A73" s="21"/>
      <c r="D73" s="23"/>
      <c r="E73" s="23">
        <f t="shared" si="2"/>
        <v>0</v>
      </c>
      <c r="F73" s="26"/>
      <c r="G73" s="27"/>
    </row>
    <row r="74" spans="1:7" x14ac:dyDescent="0.25">
      <c r="A74" s="43"/>
      <c r="E74" s="20">
        <f t="shared" si="2"/>
        <v>0</v>
      </c>
      <c r="F74" s="26"/>
      <c r="G74" s="27"/>
    </row>
    <row r="75" spans="1:7" x14ac:dyDescent="0.25">
      <c r="A75" s="21"/>
      <c r="D75" s="23"/>
      <c r="E75" s="23">
        <f t="shared" si="2"/>
        <v>0</v>
      </c>
      <c r="F75" s="26"/>
      <c r="G75" s="27"/>
    </row>
    <row r="76" spans="1:7" x14ac:dyDescent="0.25">
      <c r="A76" s="21"/>
      <c r="D76" s="23"/>
      <c r="E76" s="23">
        <f t="shared" si="2"/>
        <v>0</v>
      </c>
      <c r="F76" s="26"/>
      <c r="G76" s="27"/>
    </row>
    <row r="77" spans="1:7" x14ac:dyDescent="0.25">
      <c r="A77" s="21"/>
      <c r="D77" s="23"/>
      <c r="E77" s="23">
        <f t="shared" si="2"/>
        <v>0</v>
      </c>
      <c r="F77" s="26"/>
      <c r="G77" s="27"/>
    </row>
    <row r="78" spans="1:7" x14ac:dyDescent="0.25">
      <c r="A78" s="21"/>
      <c r="D78" s="23"/>
      <c r="E78" s="23">
        <f t="shared" si="2"/>
        <v>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159107000</v>
      </c>
      <c r="G199" s="27">
        <f>SUM(G3:G198)</f>
        <v>142393000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815C-C21A-DF45-A3FA-206A97B82C15}">
  <dimension ref="A1:K200"/>
  <sheetViews>
    <sheetView topLeftCell="A16" zoomScaleNormal="100" zoomScaleSheetLayoutView="100" workbookViewId="0">
      <selection activeCell="K12" sqref="K12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v>20240000</v>
      </c>
      <c r="F3" s="26">
        <v>44978</v>
      </c>
      <c r="G3" s="27">
        <v>3300000</v>
      </c>
      <c r="I3" s="110">
        <f>E199-G199</f>
        <v>9795000</v>
      </c>
      <c r="J3" s="111"/>
    </row>
    <row r="4" spans="1:11" x14ac:dyDescent="0.25">
      <c r="A4" s="21">
        <v>44978</v>
      </c>
      <c r="B4" t="s">
        <v>226</v>
      </c>
      <c r="C4" s="22">
        <v>72</v>
      </c>
      <c r="D4" s="23">
        <v>40000</v>
      </c>
      <c r="E4" s="23">
        <f t="shared" ref="E4:E35" si="0">C4*D4</f>
        <v>2880000</v>
      </c>
      <c r="F4" s="26">
        <v>44979</v>
      </c>
      <c r="G4" s="27">
        <v>4250000</v>
      </c>
      <c r="I4" s="89" t="s">
        <v>132</v>
      </c>
      <c r="J4" s="90">
        <v>11400</v>
      </c>
    </row>
    <row r="5" spans="1:11" ht="15.75" thickBot="1" x14ac:dyDescent="0.3">
      <c r="A5" s="21">
        <v>44979</v>
      </c>
      <c r="B5" t="s">
        <v>227</v>
      </c>
      <c r="C5" s="22">
        <v>64</v>
      </c>
      <c r="D5" s="23">
        <v>37000</v>
      </c>
      <c r="E5" s="67">
        <f t="shared" si="0"/>
        <v>2368000</v>
      </c>
      <c r="F5" s="26">
        <v>44980</v>
      </c>
      <c r="G5" s="27">
        <v>10000000</v>
      </c>
      <c r="I5" s="112">
        <f>I3/J4</f>
        <v>859.21052631578948</v>
      </c>
      <c r="J5" s="113"/>
    </row>
    <row r="6" spans="1:11" ht="15.75" thickBot="1" x14ac:dyDescent="0.3">
      <c r="A6" s="21">
        <v>44979</v>
      </c>
      <c r="B6" t="s">
        <v>228</v>
      </c>
      <c r="C6" s="22">
        <v>70</v>
      </c>
      <c r="D6" s="23">
        <v>38000</v>
      </c>
      <c r="E6" s="23">
        <f t="shared" si="0"/>
        <v>2660000</v>
      </c>
      <c r="F6" s="26">
        <v>44981</v>
      </c>
      <c r="G6" s="27">
        <v>3700000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44980</v>
      </c>
      <c r="B7" t="s">
        <v>228</v>
      </c>
      <c r="C7" s="22">
        <v>62</v>
      </c>
      <c r="D7" s="23">
        <v>38000</v>
      </c>
      <c r="E7" s="23">
        <f t="shared" si="0"/>
        <v>2356000</v>
      </c>
      <c r="F7" s="26">
        <v>44982</v>
      </c>
      <c r="G7" s="27">
        <v>700000</v>
      </c>
    </row>
    <row r="8" spans="1:11" ht="15.75" thickBot="1" x14ac:dyDescent="0.3">
      <c r="A8" s="21">
        <v>44980</v>
      </c>
      <c r="B8" t="s">
        <v>227</v>
      </c>
      <c r="C8" s="22">
        <v>120</v>
      </c>
      <c r="D8" s="23">
        <v>37000</v>
      </c>
      <c r="E8" s="23">
        <f t="shared" si="0"/>
        <v>4440000</v>
      </c>
      <c r="F8" s="85">
        <v>44983</v>
      </c>
      <c r="G8" s="86">
        <v>6454000</v>
      </c>
      <c r="I8" s="29" t="s">
        <v>15</v>
      </c>
      <c r="J8" s="30">
        <f>I3-J6</f>
        <v>-25581000</v>
      </c>
    </row>
    <row r="9" spans="1:11" x14ac:dyDescent="0.25">
      <c r="A9" s="21">
        <v>44980</v>
      </c>
      <c r="B9" t="s">
        <v>229</v>
      </c>
      <c r="C9" s="22">
        <v>180</v>
      </c>
      <c r="D9" s="23">
        <v>39000</v>
      </c>
      <c r="E9" s="23">
        <f t="shared" si="0"/>
        <v>7020000</v>
      </c>
      <c r="F9" s="26">
        <v>44985</v>
      </c>
      <c r="G9" s="27">
        <v>6100000</v>
      </c>
    </row>
    <row r="10" spans="1:11" ht="15.75" thickBot="1" x14ac:dyDescent="0.3">
      <c r="A10" s="43">
        <v>44981</v>
      </c>
      <c r="B10" t="s">
        <v>228</v>
      </c>
      <c r="C10" s="22">
        <v>146</v>
      </c>
      <c r="D10" s="20">
        <v>38000</v>
      </c>
      <c r="E10" s="20">
        <f t="shared" si="0"/>
        <v>5548000</v>
      </c>
      <c r="F10" s="26">
        <v>44986</v>
      </c>
      <c r="G10" s="27">
        <v>2200000</v>
      </c>
    </row>
    <row r="11" spans="1:11" ht="15.75" thickBot="1" x14ac:dyDescent="0.3">
      <c r="A11" s="21">
        <v>44982</v>
      </c>
      <c r="B11" t="s">
        <v>228</v>
      </c>
      <c r="C11" s="22">
        <v>54</v>
      </c>
      <c r="D11" s="23">
        <v>38000</v>
      </c>
      <c r="E11" s="23">
        <f t="shared" si="0"/>
        <v>2052000</v>
      </c>
      <c r="F11" s="26">
        <v>44987</v>
      </c>
      <c r="G11" s="27">
        <v>3760000</v>
      </c>
      <c r="I11" s="54" t="s">
        <v>66</v>
      </c>
      <c r="J11" s="55"/>
    </row>
    <row r="12" spans="1:11" x14ac:dyDescent="0.25">
      <c r="A12" s="21">
        <v>44983</v>
      </c>
      <c r="B12" t="s">
        <v>226</v>
      </c>
      <c r="C12" s="22">
        <v>38</v>
      </c>
      <c r="D12" s="23">
        <v>40000</v>
      </c>
      <c r="E12" s="23">
        <f t="shared" si="0"/>
        <v>1520000</v>
      </c>
      <c r="F12" s="26">
        <v>44988</v>
      </c>
      <c r="G12" s="27">
        <v>850000</v>
      </c>
    </row>
    <row r="13" spans="1:11" x14ac:dyDescent="0.25">
      <c r="A13" s="21">
        <v>44983</v>
      </c>
      <c r="B13" t="s">
        <v>230</v>
      </c>
      <c r="C13" s="22">
        <v>84</v>
      </c>
      <c r="D13" s="23">
        <v>39000</v>
      </c>
      <c r="E13" s="23">
        <f t="shared" si="0"/>
        <v>3276000</v>
      </c>
      <c r="F13" s="26">
        <v>44989</v>
      </c>
      <c r="G13" s="27">
        <v>4700000</v>
      </c>
    </row>
    <row r="14" spans="1:11" ht="15.75" thickBot="1" x14ac:dyDescent="0.3">
      <c r="A14" s="21">
        <v>44985</v>
      </c>
      <c r="B14" t="s">
        <v>230</v>
      </c>
      <c r="C14" s="22">
        <v>104</v>
      </c>
      <c r="D14" s="23">
        <v>39000</v>
      </c>
      <c r="E14" s="23">
        <f t="shared" si="0"/>
        <v>4056000</v>
      </c>
      <c r="F14" s="85">
        <v>44990</v>
      </c>
      <c r="G14" s="86">
        <v>8913000</v>
      </c>
    </row>
    <row r="15" spans="1:11" x14ac:dyDescent="0.25">
      <c r="A15" s="21">
        <v>44986</v>
      </c>
      <c r="B15" t="s">
        <v>230</v>
      </c>
      <c r="C15" s="22">
        <v>118</v>
      </c>
      <c r="D15" s="23">
        <v>39000</v>
      </c>
      <c r="E15" s="23">
        <f t="shared" si="0"/>
        <v>4602000</v>
      </c>
      <c r="F15" s="26">
        <v>44992</v>
      </c>
      <c r="G15" s="27">
        <v>3000000</v>
      </c>
      <c r="I15" s="114"/>
      <c r="J15" s="115"/>
    </row>
    <row r="16" spans="1:11" ht="15.75" thickBot="1" x14ac:dyDescent="0.3">
      <c r="A16" s="21">
        <v>44987</v>
      </c>
      <c r="B16" t="s">
        <v>230</v>
      </c>
      <c r="C16" s="22">
        <v>50</v>
      </c>
      <c r="D16" s="23">
        <v>39000</v>
      </c>
      <c r="E16" s="23">
        <f t="shared" si="0"/>
        <v>1950000</v>
      </c>
      <c r="F16" s="26">
        <v>44993</v>
      </c>
      <c r="G16" s="27">
        <v>5550000</v>
      </c>
      <c r="I16" s="80"/>
      <c r="J16" s="81"/>
    </row>
    <row r="17" spans="1:9" x14ac:dyDescent="0.25">
      <c r="A17" s="21">
        <v>44989</v>
      </c>
      <c r="B17" t="s">
        <v>230</v>
      </c>
      <c r="C17" s="22">
        <v>80</v>
      </c>
      <c r="D17" s="23">
        <v>39000</v>
      </c>
      <c r="E17" s="23">
        <f t="shared" si="0"/>
        <v>3120000</v>
      </c>
      <c r="F17" s="26">
        <v>44994</v>
      </c>
      <c r="G17" s="27">
        <v>3600000</v>
      </c>
    </row>
    <row r="18" spans="1:9" x14ac:dyDescent="0.25">
      <c r="A18" s="21">
        <v>44989</v>
      </c>
      <c r="B18" t="s">
        <v>226</v>
      </c>
      <c r="C18" s="22">
        <v>86</v>
      </c>
      <c r="D18" s="23">
        <v>40000</v>
      </c>
      <c r="E18" s="23">
        <f t="shared" si="0"/>
        <v>3440000</v>
      </c>
      <c r="F18" s="26">
        <v>44995</v>
      </c>
      <c r="G18" s="27">
        <v>3450000</v>
      </c>
    </row>
    <row r="19" spans="1:9" x14ac:dyDescent="0.25">
      <c r="A19" s="21">
        <v>44990</v>
      </c>
      <c r="B19" t="s">
        <v>226</v>
      </c>
      <c r="C19" s="22">
        <v>10</v>
      </c>
      <c r="D19" s="23">
        <v>40000</v>
      </c>
      <c r="E19" s="23">
        <f t="shared" si="0"/>
        <v>400000</v>
      </c>
      <c r="F19" s="45">
        <v>44996</v>
      </c>
      <c r="G19" s="17">
        <v>1530000</v>
      </c>
    </row>
    <row r="20" spans="1:9" x14ac:dyDescent="0.25">
      <c r="A20" s="43">
        <v>44990</v>
      </c>
      <c r="B20" t="s">
        <v>230</v>
      </c>
      <c r="C20" s="22">
        <v>86</v>
      </c>
      <c r="D20" s="20">
        <v>39000</v>
      </c>
      <c r="E20" s="96">
        <f t="shared" si="0"/>
        <v>3354000</v>
      </c>
      <c r="F20" s="85">
        <v>44997</v>
      </c>
      <c r="G20" s="86">
        <v>3860000</v>
      </c>
    </row>
    <row r="21" spans="1:9" x14ac:dyDescent="0.25">
      <c r="A21" s="21">
        <v>44990</v>
      </c>
      <c r="B21" t="s">
        <v>231</v>
      </c>
      <c r="C21" s="22">
        <v>48</v>
      </c>
      <c r="D21" s="23">
        <v>37000</v>
      </c>
      <c r="E21" s="23">
        <f t="shared" si="0"/>
        <v>1776000</v>
      </c>
      <c r="F21" s="26">
        <v>44999</v>
      </c>
      <c r="G21" s="27">
        <v>1550000</v>
      </c>
    </row>
    <row r="22" spans="1:9" x14ac:dyDescent="0.25">
      <c r="A22" s="21">
        <v>44992</v>
      </c>
      <c r="B22" t="s">
        <v>230</v>
      </c>
      <c r="C22" s="22">
        <v>60</v>
      </c>
      <c r="D22" s="23">
        <v>39000</v>
      </c>
      <c r="E22" s="23">
        <f t="shared" si="0"/>
        <v>2340000</v>
      </c>
      <c r="F22" s="26">
        <v>45000</v>
      </c>
      <c r="G22" s="27">
        <v>3300000</v>
      </c>
    </row>
    <row r="23" spans="1:9" x14ac:dyDescent="0.25">
      <c r="A23" s="21">
        <v>44992</v>
      </c>
      <c r="B23" t="s">
        <v>231</v>
      </c>
      <c r="C23" s="22">
        <v>60</v>
      </c>
      <c r="D23" s="23">
        <v>37000</v>
      </c>
      <c r="E23" s="23">
        <f t="shared" si="0"/>
        <v>2220000</v>
      </c>
      <c r="F23" s="26">
        <v>45001</v>
      </c>
      <c r="G23" s="27">
        <v>4200000</v>
      </c>
    </row>
    <row r="24" spans="1:9" x14ac:dyDescent="0.25">
      <c r="A24" s="21">
        <v>44993</v>
      </c>
      <c r="B24" t="s">
        <v>231</v>
      </c>
      <c r="C24" s="22">
        <v>60</v>
      </c>
      <c r="D24" s="23">
        <v>37000</v>
      </c>
      <c r="E24" s="23">
        <f t="shared" si="0"/>
        <v>2220000</v>
      </c>
      <c r="F24" s="26">
        <v>45002</v>
      </c>
      <c r="G24" s="27">
        <v>2320000</v>
      </c>
    </row>
    <row r="25" spans="1:9" x14ac:dyDescent="0.25">
      <c r="A25" s="21">
        <v>44993</v>
      </c>
      <c r="B25" t="s">
        <v>232</v>
      </c>
      <c r="C25" s="22">
        <v>60</v>
      </c>
      <c r="D25" s="23">
        <v>39000</v>
      </c>
      <c r="E25" s="23">
        <f t="shared" si="0"/>
        <v>2340000</v>
      </c>
      <c r="F25" s="26">
        <v>45003</v>
      </c>
      <c r="G25" s="27">
        <v>1660000</v>
      </c>
    </row>
    <row r="26" spans="1:9" x14ac:dyDescent="0.25">
      <c r="A26" s="21">
        <v>44995</v>
      </c>
      <c r="B26" t="s">
        <v>231</v>
      </c>
      <c r="C26" s="22">
        <v>40</v>
      </c>
      <c r="D26" s="23">
        <v>37000</v>
      </c>
      <c r="E26" s="23">
        <f t="shared" si="0"/>
        <v>1480000</v>
      </c>
      <c r="F26" s="85">
        <v>45004</v>
      </c>
      <c r="G26" s="86">
        <v>7808000</v>
      </c>
    </row>
    <row r="27" spans="1:9" x14ac:dyDescent="0.25">
      <c r="A27" s="21">
        <v>44996</v>
      </c>
      <c r="B27" t="s">
        <v>231</v>
      </c>
      <c r="C27" s="22">
        <v>44</v>
      </c>
      <c r="D27" s="23">
        <v>37000</v>
      </c>
      <c r="E27" s="23">
        <f t="shared" si="0"/>
        <v>1628000</v>
      </c>
      <c r="F27" s="26">
        <v>45006</v>
      </c>
      <c r="G27" s="27">
        <v>4150000</v>
      </c>
    </row>
    <row r="28" spans="1:9" x14ac:dyDescent="0.25">
      <c r="A28" s="21">
        <v>44996</v>
      </c>
      <c r="B28" t="s">
        <v>232</v>
      </c>
      <c r="C28" s="22">
        <v>76</v>
      </c>
      <c r="D28" s="23">
        <v>39000</v>
      </c>
      <c r="E28" s="23">
        <f t="shared" si="0"/>
        <v>2964000</v>
      </c>
      <c r="F28" s="45">
        <v>45007</v>
      </c>
      <c r="G28" s="17">
        <v>600000</v>
      </c>
    </row>
    <row r="29" spans="1:9" x14ac:dyDescent="0.25">
      <c r="A29" s="21">
        <v>44996</v>
      </c>
      <c r="B29" t="s">
        <v>224</v>
      </c>
      <c r="C29" s="22">
        <v>12</v>
      </c>
      <c r="D29" s="23">
        <v>35000</v>
      </c>
      <c r="E29" s="23">
        <f t="shared" si="0"/>
        <v>420000</v>
      </c>
      <c r="F29" s="26">
        <v>45008</v>
      </c>
      <c r="G29" s="27">
        <v>1750000</v>
      </c>
    </row>
    <row r="30" spans="1:9" x14ac:dyDescent="0.25">
      <c r="A30" s="21">
        <v>44997</v>
      </c>
      <c r="B30" t="s">
        <v>233</v>
      </c>
      <c r="C30" s="22">
        <v>96</v>
      </c>
      <c r="D30" s="23">
        <v>35000</v>
      </c>
      <c r="E30" s="23">
        <f t="shared" si="0"/>
        <v>3360000</v>
      </c>
      <c r="F30" s="26">
        <v>45009</v>
      </c>
      <c r="G30" s="27">
        <v>2700000</v>
      </c>
    </row>
    <row r="31" spans="1:9" x14ac:dyDescent="0.25">
      <c r="A31" s="21">
        <v>44999</v>
      </c>
      <c r="B31" t="s">
        <v>231</v>
      </c>
      <c r="C31" s="22">
        <v>60</v>
      </c>
      <c r="D31" s="23">
        <v>37000</v>
      </c>
      <c r="E31" s="23">
        <f t="shared" si="0"/>
        <v>2220000</v>
      </c>
      <c r="F31" s="85">
        <v>45011</v>
      </c>
      <c r="G31" s="86">
        <v>1100000</v>
      </c>
    </row>
    <row r="32" spans="1:9" x14ac:dyDescent="0.25">
      <c r="A32" s="43">
        <v>44999</v>
      </c>
      <c r="B32" t="s">
        <v>229</v>
      </c>
      <c r="C32" s="22">
        <v>84</v>
      </c>
      <c r="D32" s="20">
        <v>39000</v>
      </c>
      <c r="E32" s="44">
        <f t="shared" si="0"/>
        <v>3276000</v>
      </c>
      <c r="F32" s="26">
        <v>45013</v>
      </c>
      <c r="G32" s="27">
        <f>3373000+5228000</f>
        <v>8601000</v>
      </c>
      <c r="H32" t="s">
        <v>237</v>
      </c>
      <c r="I32">
        <v>5228000</v>
      </c>
    </row>
    <row r="33" spans="1:7" x14ac:dyDescent="0.25">
      <c r="A33" s="21">
        <v>44999</v>
      </c>
      <c r="B33" t="s">
        <v>232</v>
      </c>
      <c r="C33" s="22">
        <v>80</v>
      </c>
      <c r="D33" s="23">
        <v>39000</v>
      </c>
      <c r="E33" s="23">
        <f t="shared" si="0"/>
        <v>3120000</v>
      </c>
      <c r="F33" s="26">
        <v>45014</v>
      </c>
      <c r="G33" s="27">
        <f>550000+3030000</f>
        <v>3580000</v>
      </c>
    </row>
    <row r="34" spans="1:7" x14ac:dyDescent="0.25">
      <c r="A34" s="21">
        <v>45000</v>
      </c>
      <c r="B34" t="s">
        <v>232</v>
      </c>
      <c r="C34" s="22">
        <v>50</v>
      </c>
      <c r="D34" s="23">
        <v>39000</v>
      </c>
      <c r="E34" s="23">
        <f t="shared" si="0"/>
        <v>1950000</v>
      </c>
      <c r="F34" s="26">
        <v>45015</v>
      </c>
      <c r="G34" s="27">
        <v>4200000</v>
      </c>
    </row>
    <row r="35" spans="1:7" x14ac:dyDescent="0.25">
      <c r="A35" s="21">
        <v>45000</v>
      </c>
      <c r="B35" t="s">
        <v>229</v>
      </c>
      <c r="C35" s="22">
        <v>84</v>
      </c>
      <c r="D35" s="23">
        <v>39000</v>
      </c>
      <c r="E35" s="23">
        <f t="shared" si="0"/>
        <v>3276000</v>
      </c>
      <c r="F35" s="26">
        <v>45016</v>
      </c>
      <c r="G35" s="27">
        <f>1900000+290000</f>
        <v>2190000</v>
      </c>
    </row>
    <row r="36" spans="1:7" x14ac:dyDescent="0.25">
      <c r="A36" s="21">
        <v>45001</v>
      </c>
      <c r="B36" t="s">
        <v>234</v>
      </c>
      <c r="C36" s="22">
        <v>96</v>
      </c>
      <c r="D36" s="23">
        <v>33000</v>
      </c>
      <c r="E36" s="23">
        <f t="shared" ref="E36:E67" si="1">C36*D36</f>
        <v>3168000</v>
      </c>
      <c r="F36" s="26">
        <v>45017</v>
      </c>
      <c r="G36" s="27">
        <v>2380000</v>
      </c>
    </row>
    <row r="37" spans="1:7" x14ac:dyDescent="0.25">
      <c r="A37" s="21">
        <v>45003</v>
      </c>
      <c r="B37" t="s">
        <v>191</v>
      </c>
      <c r="C37" s="22">
        <v>80</v>
      </c>
      <c r="D37" s="23">
        <v>28000</v>
      </c>
      <c r="E37" s="23">
        <f t="shared" si="1"/>
        <v>2240000</v>
      </c>
      <c r="F37" s="26"/>
      <c r="G37" s="27"/>
    </row>
    <row r="38" spans="1:7" x14ac:dyDescent="0.25">
      <c r="A38" s="21">
        <v>45003</v>
      </c>
      <c r="B38" t="s">
        <v>234</v>
      </c>
      <c r="C38" s="22">
        <v>60</v>
      </c>
      <c r="D38" s="23">
        <v>33000</v>
      </c>
      <c r="E38" s="23">
        <f t="shared" si="1"/>
        <v>1980000</v>
      </c>
      <c r="F38" s="85">
        <v>45018</v>
      </c>
      <c r="G38" s="86">
        <v>5330000</v>
      </c>
    </row>
    <row r="39" spans="1:7" x14ac:dyDescent="0.25">
      <c r="A39" s="21">
        <v>45004</v>
      </c>
      <c r="B39" t="s">
        <v>234</v>
      </c>
      <c r="C39" s="22">
        <v>32</v>
      </c>
      <c r="D39" s="23">
        <v>33000</v>
      </c>
      <c r="E39" s="23">
        <f t="shared" si="1"/>
        <v>1056000</v>
      </c>
      <c r="F39" s="26">
        <v>45020</v>
      </c>
      <c r="G39" s="27">
        <v>5850000</v>
      </c>
    </row>
    <row r="40" spans="1:7" x14ac:dyDescent="0.25">
      <c r="A40" s="21">
        <v>45006</v>
      </c>
      <c r="B40" t="s">
        <v>235</v>
      </c>
      <c r="C40" s="22">
        <v>46</v>
      </c>
      <c r="D40" s="23">
        <v>28000</v>
      </c>
      <c r="E40" s="23">
        <f t="shared" si="1"/>
        <v>1288000</v>
      </c>
      <c r="F40" s="26">
        <v>45021</v>
      </c>
      <c r="G40" s="27">
        <v>1250000</v>
      </c>
    </row>
    <row r="41" spans="1:7" x14ac:dyDescent="0.25">
      <c r="A41" s="21">
        <v>45007</v>
      </c>
      <c r="B41" t="s">
        <v>235</v>
      </c>
      <c r="C41" s="22">
        <v>78</v>
      </c>
      <c r="D41" s="23">
        <v>28000</v>
      </c>
      <c r="E41" s="23">
        <f t="shared" si="1"/>
        <v>2184000</v>
      </c>
      <c r="F41" s="45">
        <v>45022</v>
      </c>
      <c r="G41" s="17">
        <v>2750000</v>
      </c>
    </row>
    <row r="42" spans="1:7" x14ac:dyDescent="0.25">
      <c r="A42" s="21">
        <v>45008</v>
      </c>
      <c r="B42" t="s">
        <v>234</v>
      </c>
      <c r="C42" s="22">
        <v>30</v>
      </c>
      <c r="D42" s="23">
        <v>33000</v>
      </c>
      <c r="E42" s="23">
        <f t="shared" si="1"/>
        <v>990000</v>
      </c>
      <c r="F42" s="26">
        <v>45023</v>
      </c>
      <c r="G42" s="27">
        <v>1400000</v>
      </c>
    </row>
    <row r="43" spans="1:7" x14ac:dyDescent="0.25">
      <c r="A43" s="21">
        <v>45008</v>
      </c>
      <c r="B43" t="s">
        <v>235</v>
      </c>
      <c r="C43" s="22">
        <v>56</v>
      </c>
      <c r="D43" s="23">
        <v>28000</v>
      </c>
      <c r="E43" s="23">
        <f t="shared" si="1"/>
        <v>1568000</v>
      </c>
      <c r="F43" s="26">
        <v>45024</v>
      </c>
      <c r="G43" s="27"/>
    </row>
    <row r="44" spans="1:7" x14ac:dyDescent="0.25">
      <c r="A44" s="21">
        <v>45009</v>
      </c>
      <c r="B44" t="s">
        <v>234</v>
      </c>
      <c r="C44" s="22">
        <v>60</v>
      </c>
      <c r="D44" s="23">
        <v>33000</v>
      </c>
      <c r="E44" s="23">
        <f t="shared" si="1"/>
        <v>1980000</v>
      </c>
      <c r="F44" s="26">
        <v>45025</v>
      </c>
      <c r="G44" s="27">
        <v>7512000</v>
      </c>
    </row>
    <row r="45" spans="1:7" x14ac:dyDescent="0.25">
      <c r="A45" s="21">
        <v>45011</v>
      </c>
      <c r="B45" t="s">
        <v>234</v>
      </c>
      <c r="C45" s="22">
        <v>110</v>
      </c>
      <c r="D45" s="23">
        <v>33000</v>
      </c>
      <c r="E45" s="23">
        <f t="shared" si="1"/>
        <v>3630000</v>
      </c>
      <c r="F45" s="85">
        <v>45027</v>
      </c>
      <c r="G45" s="86">
        <v>2010000</v>
      </c>
    </row>
    <row r="46" spans="1:7" x14ac:dyDescent="0.25">
      <c r="A46" s="21">
        <v>45011</v>
      </c>
      <c r="B46" t="s">
        <v>236</v>
      </c>
      <c r="C46" s="22">
        <v>72</v>
      </c>
      <c r="D46" s="23">
        <v>36000</v>
      </c>
      <c r="E46" s="23">
        <f t="shared" si="1"/>
        <v>2592000</v>
      </c>
      <c r="F46" s="26">
        <v>45028</v>
      </c>
      <c r="G46" s="27">
        <v>700000</v>
      </c>
    </row>
    <row r="47" spans="1:7" x14ac:dyDescent="0.25">
      <c r="A47" s="21">
        <v>45013</v>
      </c>
      <c r="B47" t="s">
        <v>234</v>
      </c>
      <c r="C47" s="22">
        <v>64</v>
      </c>
      <c r="D47" s="23">
        <v>33000</v>
      </c>
      <c r="E47" s="23">
        <f t="shared" si="1"/>
        <v>2112000</v>
      </c>
      <c r="F47" s="26">
        <v>45029</v>
      </c>
      <c r="G47" s="27">
        <v>13350000</v>
      </c>
    </row>
    <row r="48" spans="1:7" x14ac:dyDescent="0.25">
      <c r="A48" s="21">
        <v>45014</v>
      </c>
      <c r="B48" t="s">
        <v>197</v>
      </c>
      <c r="C48" s="22">
        <v>38</v>
      </c>
      <c r="D48" s="23">
        <v>35000</v>
      </c>
      <c r="E48" s="23">
        <f t="shared" si="1"/>
        <v>1330000</v>
      </c>
      <c r="F48" s="26">
        <v>45030</v>
      </c>
      <c r="G48" s="27">
        <v>2050000</v>
      </c>
    </row>
    <row r="49" spans="1:8" x14ac:dyDescent="0.25">
      <c r="A49" s="21">
        <v>45014</v>
      </c>
      <c r="B49" t="s">
        <v>234</v>
      </c>
      <c r="C49" s="22">
        <v>120</v>
      </c>
      <c r="D49" s="23">
        <v>33000</v>
      </c>
      <c r="E49" s="23">
        <f t="shared" si="1"/>
        <v>3960000</v>
      </c>
      <c r="F49" s="45">
        <v>45031</v>
      </c>
      <c r="G49" s="17">
        <f>2000000+600000</f>
        <v>2600000</v>
      </c>
      <c r="H49" t="s">
        <v>240</v>
      </c>
    </row>
    <row r="50" spans="1:8" x14ac:dyDescent="0.25">
      <c r="A50" s="21">
        <v>45017</v>
      </c>
      <c r="B50" t="s">
        <v>197</v>
      </c>
      <c r="C50" s="22">
        <v>68</v>
      </c>
      <c r="D50" s="23">
        <v>35000</v>
      </c>
      <c r="E50" s="23">
        <f t="shared" si="1"/>
        <v>2380000</v>
      </c>
      <c r="F50" s="26">
        <v>45032</v>
      </c>
      <c r="G50" s="27">
        <v>4750000</v>
      </c>
    </row>
    <row r="51" spans="1:8" x14ac:dyDescent="0.25">
      <c r="A51" s="21">
        <v>45018</v>
      </c>
      <c r="B51" t="s">
        <v>197</v>
      </c>
      <c r="C51" s="22">
        <v>114</v>
      </c>
      <c r="D51" s="23">
        <v>35000</v>
      </c>
      <c r="E51" s="23">
        <f t="shared" si="1"/>
        <v>3990000</v>
      </c>
      <c r="F51" s="85">
        <v>45034</v>
      </c>
      <c r="G51" s="86">
        <v>1800000</v>
      </c>
    </row>
    <row r="52" spans="1:8" x14ac:dyDescent="0.25">
      <c r="A52" s="43">
        <v>45018</v>
      </c>
      <c r="B52" t="s">
        <v>238</v>
      </c>
      <c r="C52" s="22">
        <v>56</v>
      </c>
      <c r="D52" s="20">
        <v>35000</v>
      </c>
      <c r="E52" s="23">
        <f t="shared" si="1"/>
        <v>1960000</v>
      </c>
      <c r="F52" s="26">
        <v>45035</v>
      </c>
      <c r="G52" s="27">
        <v>1700000</v>
      </c>
    </row>
    <row r="53" spans="1:8" x14ac:dyDescent="0.25">
      <c r="A53" s="21">
        <v>45020</v>
      </c>
      <c r="B53" t="s">
        <v>197</v>
      </c>
      <c r="C53" s="22">
        <v>24</v>
      </c>
      <c r="D53" s="23">
        <v>35000</v>
      </c>
      <c r="E53" s="23">
        <f t="shared" si="1"/>
        <v>840000</v>
      </c>
      <c r="F53" s="26">
        <v>45036</v>
      </c>
      <c r="G53" s="27">
        <v>1050000</v>
      </c>
    </row>
    <row r="54" spans="1:8" x14ac:dyDescent="0.25">
      <c r="A54" s="21">
        <v>45020</v>
      </c>
      <c r="B54" t="s">
        <v>234</v>
      </c>
      <c r="C54" s="22">
        <v>56</v>
      </c>
      <c r="D54" s="23">
        <v>33000</v>
      </c>
      <c r="E54" s="23">
        <f t="shared" si="1"/>
        <v>1848000</v>
      </c>
      <c r="F54" s="26">
        <v>45038</v>
      </c>
      <c r="G54" s="27">
        <v>250000</v>
      </c>
    </row>
    <row r="55" spans="1:8" x14ac:dyDescent="0.25">
      <c r="A55" s="21">
        <v>45021</v>
      </c>
      <c r="B55" t="s">
        <v>238</v>
      </c>
      <c r="C55" s="22">
        <v>116</v>
      </c>
      <c r="D55" s="23">
        <v>35000</v>
      </c>
      <c r="E55" s="23">
        <f t="shared" si="1"/>
        <v>4060000</v>
      </c>
      <c r="F55" s="26">
        <v>45039</v>
      </c>
      <c r="G55" s="27">
        <v>410000</v>
      </c>
    </row>
    <row r="56" spans="1:8" x14ac:dyDescent="0.25">
      <c r="A56" s="21"/>
      <c r="B56" t="s">
        <v>197</v>
      </c>
      <c r="C56" s="22">
        <v>60</v>
      </c>
      <c r="D56" s="23">
        <v>35000</v>
      </c>
      <c r="E56" s="23">
        <f t="shared" si="1"/>
        <v>2100000</v>
      </c>
      <c r="F56" s="26">
        <v>45041</v>
      </c>
      <c r="G56" s="27">
        <v>4730000</v>
      </c>
    </row>
    <row r="57" spans="1:8" x14ac:dyDescent="0.25">
      <c r="A57" s="21"/>
      <c r="B57" t="s">
        <v>234</v>
      </c>
      <c r="C57" s="22">
        <v>22</v>
      </c>
      <c r="D57" s="23">
        <v>33000</v>
      </c>
      <c r="E57" s="23">
        <f t="shared" si="1"/>
        <v>726000</v>
      </c>
      <c r="F57" s="94">
        <v>45042</v>
      </c>
      <c r="G57" s="95">
        <v>4000000</v>
      </c>
    </row>
    <row r="58" spans="1:8" x14ac:dyDescent="0.25">
      <c r="A58" s="21">
        <v>45022</v>
      </c>
      <c r="B58" t="s">
        <v>234</v>
      </c>
      <c r="C58" s="22">
        <v>46</v>
      </c>
      <c r="D58" s="23">
        <v>33000</v>
      </c>
      <c r="E58" s="23">
        <f t="shared" si="1"/>
        <v>1518000</v>
      </c>
      <c r="F58" s="26">
        <v>45043</v>
      </c>
      <c r="G58" s="27">
        <v>1950000</v>
      </c>
    </row>
    <row r="59" spans="1:8" x14ac:dyDescent="0.25">
      <c r="A59" s="21">
        <v>45023</v>
      </c>
      <c r="B59" t="s">
        <v>197</v>
      </c>
      <c r="C59" s="22">
        <v>32</v>
      </c>
      <c r="D59" s="23">
        <v>35000</v>
      </c>
      <c r="E59" s="23">
        <f t="shared" si="1"/>
        <v>1120000</v>
      </c>
      <c r="F59" s="26">
        <v>45044</v>
      </c>
      <c r="G59" s="27">
        <v>6460000</v>
      </c>
    </row>
    <row r="60" spans="1:8" x14ac:dyDescent="0.25">
      <c r="A60" s="21">
        <v>45023</v>
      </c>
      <c r="B60" t="s">
        <v>234</v>
      </c>
      <c r="C60" s="22">
        <v>44</v>
      </c>
      <c r="D60" s="23">
        <v>33000</v>
      </c>
      <c r="E60" s="23">
        <f t="shared" si="1"/>
        <v>1452000</v>
      </c>
      <c r="F60" s="26">
        <v>45045</v>
      </c>
      <c r="G60" s="27">
        <v>1000000</v>
      </c>
    </row>
    <row r="61" spans="1:8" x14ac:dyDescent="0.25">
      <c r="A61" s="21">
        <v>45025</v>
      </c>
      <c r="B61" t="s">
        <v>197</v>
      </c>
      <c r="C61" s="22">
        <v>144</v>
      </c>
      <c r="D61" s="23">
        <v>35000</v>
      </c>
      <c r="E61" s="23">
        <f t="shared" si="1"/>
        <v>5040000</v>
      </c>
      <c r="F61" s="26">
        <v>45046</v>
      </c>
      <c r="G61" s="27">
        <v>4292000</v>
      </c>
    </row>
    <row r="62" spans="1:8" x14ac:dyDescent="0.25">
      <c r="A62" s="21">
        <v>45025</v>
      </c>
      <c r="B62" t="s">
        <v>238</v>
      </c>
      <c r="C62" s="22">
        <v>116</v>
      </c>
      <c r="D62" s="23">
        <v>35000</v>
      </c>
      <c r="E62" s="23">
        <f t="shared" si="1"/>
        <v>4060000</v>
      </c>
      <c r="F62" s="26"/>
      <c r="G62" s="27"/>
    </row>
    <row r="63" spans="1:8" x14ac:dyDescent="0.25">
      <c r="A63" s="21">
        <v>45027</v>
      </c>
      <c r="B63" t="s">
        <v>197</v>
      </c>
      <c r="C63" s="22">
        <v>124</v>
      </c>
      <c r="D63" s="23">
        <v>35000</v>
      </c>
      <c r="E63" s="23">
        <f t="shared" si="1"/>
        <v>4340000</v>
      </c>
      <c r="F63" s="85"/>
      <c r="G63" s="86"/>
    </row>
    <row r="64" spans="1:8" x14ac:dyDescent="0.25">
      <c r="A64" s="43">
        <v>45027</v>
      </c>
      <c r="B64" t="s">
        <v>238</v>
      </c>
      <c r="C64" s="22">
        <v>104</v>
      </c>
      <c r="D64" s="20">
        <v>35000</v>
      </c>
      <c r="E64" s="67">
        <f t="shared" si="1"/>
        <v>3640000</v>
      </c>
      <c r="F64" s="45"/>
      <c r="G64" s="17"/>
    </row>
    <row r="65" spans="1:7" x14ac:dyDescent="0.25">
      <c r="A65" s="21">
        <v>45029</v>
      </c>
      <c r="B65" t="s">
        <v>238</v>
      </c>
      <c r="C65" s="22">
        <v>46</v>
      </c>
      <c r="D65" s="23">
        <v>35000</v>
      </c>
      <c r="E65" s="23">
        <f t="shared" si="1"/>
        <v>1610000</v>
      </c>
      <c r="F65" s="26"/>
      <c r="G65" s="27"/>
    </row>
    <row r="66" spans="1:7" x14ac:dyDescent="0.25">
      <c r="A66" s="21">
        <v>45029</v>
      </c>
      <c r="B66" t="s">
        <v>239</v>
      </c>
      <c r="C66" s="22">
        <v>78</v>
      </c>
      <c r="D66" s="23">
        <v>33500</v>
      </c>
      <c r="E66" s="23">
        <f t="shared" si="1"/>
        <v>2613000</v>
      </c>
      <c r="F66" s="26"/>
      <c r="G66" s="27"/>
    </row>
    <row r="67" spans="1:7" x14ac:dyDescent="0.25">
      <c r="A67" s="43">
        <v>45030</v>
      </c>
      <c r="B67" t="s">
        <v>197</v>
      </c>
      <c r="C67" s="22">
        <v>52</v>
      </c>
      <c r="D67" s="20">
        <v>35000</v>
      </c>
      <c r="E67" s="20">
        <f t="shared" si="1"/>
        <v>1820000</v>
      </c>
      <c r="F67" s="26"/>
      <c r="G67" s="27"/>
    </row>
    <row r="68" spans="1:7" x14ac:dyDescent="0.25">
      <c r="A68" s="21">
        <v>45031</v>
      </c>
      <c r="B68" t="s">
        <v>238</v>
      </c>
      <c r="C68" s="22">
        <v>58</v>
      </c>
      <c r="D68" s="23">
        <v>35000</v>
      </c>
      <c r="E68" s="23">
        <f t="shared" ref="E68:E99" si="2">C68*D68</f>
        <v>2030000</v>
      </c>
      <c r="F68" s="26"/>
      <c r="G68" s="27"/>
    </row>
    <row r="69" spans="1:7" x14ac:dyDescent="0.25">
      <c r="A69" s="21">
        <v>45032</v>
      </c>
      <c r="B69" t="s">
        <v>238</v>
      </c>
      <c r="C69" s="22">
        <v>116</v>
      </c>
      <c r="D69" s="23">
        <v>35000</v>
      </c>
      <c r="E69" s="23">
        <f t="shared" si="2"/>
        <v>4060000</v>
      </c>
      <c r="F69" s="26"/>
      <c r="G69" s="27"/>
    </row>
    <row r="70" spans="1:7" x14ac:dyDescent="0.25">
      <c r="A70" s="21">
        <v>45034</v>
      </c>
      <c r="B70" t="s">
        <v>238</v>
      </c>
      <c r="C70" s="22">
        <v>160</v>
      </c>
      <c r="D70" s="23">
        <v>35000</v>
      </c>
      <c r="E70" s="23">
        <f t="shared" si="2"/>
        <v>5600000</v>
      </c>
      <c r="F70" s="26"/>
      <c r="G70" s="27"/>
    </row>
    <row r="71" spans="1:7" x14ac:dyDescent="0.25">
      <c r="A71" s="21">
        <v>45035</v>
      </c>
      <c r="B71" t="s">
        <v>238</v>
      </c>
      <c r="C71" s="22">
        <v>42</v>
      </c>
      <c r="D71" s="23">
        <v>35000</v>
      </c>
      <c r="E71" s="23">
        <f t="shared" si="2"/>
        <v>1470000</v>
      </c>
      <c r="F71" s="26"/>
      <c r="G71" s="27"/>
    </row>
    <row r="72" spans="1:7" x14ac:dyDescent="0.25">
      <c r="A72" s="82">
        <v>45041</v>
      </c>
      <c r="B72" s="50" t="s">
        <v>238</v>
      </c>
      <c r="C72" s="83">
        <v>50</v>
      </c>
      <c r="D72" s="84">
        <v>35000</v>
      </c>
      <c r="E72" s="84">
        <f t="shared" si="2"/>
        <v>1750000</v>
      </c>
      <c r="F72" s="45"/>
    </row>
    <row r="73" spans="1:7" x14ac:dyDescent="0.25">
      <c r="A73" s="21">
        <v>45042</v>
      </c>
      <c r="B73" t="s">
        <v>238</v>
      </c>
      <c r="C73" s="22">
        <v>70</v>
      </c>
      <c r="D73" s="23">
        <v>35000</v>
      </c>
      <c r="E73" s="23">
        <f t="shared" si="2"/>
        <v>2450000</v>
      </c>
      <c r="F73" s="26"/>
      <c r="G73" s="27"/>
    </row>
    <row r="74" spans="1:7" x14ac:dyDescent="0.25">
      <c r="A74" s="43">
        <v>45043</v>
      </c>
      <c r="B74" t="s">
        <v>242</v>
      </c>
      <c r="C74" s="22">
        <v>52</v>
      </c>
      <c r="D74" s="20">
        <v>34000</v>
      </c>
      <c r="E74" s="20">
        <f t="shared" si="2"/>
        <v>1768000</v>
      </c>
      <c r="F74" s="26"/>
      <c r="G74" s="27"/>
    </row>
    <row r="75" spans="1:7" x14ac:dyDescent="0.25">
      <c r="A75" s="21">
        <v>45044</v>
      </c>
      <c r="B75" t="s">
        <v>238</v>
      </c>
      <c r="C75" s="22">
        <v>134</v>
      </c>
      <c r="D75" s="23">
        <v>35000</v>
      </c>
      <c r="E75" s="23">
        <f t="shared" si="2"/>
        <v>4690000</v>
      </c>
      <c r="F75" s="26"/>
      <c r="G75" s="27"/>
    </row>
    <row r="76" spans="1:7" x14ac:dyDescent="0.25">
      <c r="A76" s="21">
        <v>45045</v>
      </c>
      <c r="B76" t="s">
        <v>238</v>
      </c>
      <c r="C76" s="22">
        <v>18</v>
      </c>
      <c r="D76" s="23">
        <v>35000</v>
      </c>
      <c r="E76" s="23">
        <f t="shared" si="2"/>
        <v>630000</v>
      </c>
      <c r="F76" s="26"/>
      <c r="G76" s="27"/>
    </row>
    <row r="77" spans="1:7" x14ac:dyDescent="0.25">
      <c r="A77" s="21">
        <v>45046</v>
      </c>
      <c r="B77" t="s">
        <v>238</v>
      </c>
      <c r="C77" s="22">
        <v>104</v>
      </c>
      <c r="D77" s="23">
        <v>35000</v>
      </c>
      <c r="E77" s="23">
        <f t="shared" si="2"/>
        <v>3640000</v>
      </c>
      <c r="F77" s="26"/>
      <c r="G77" s="27"/>
    </row>
    <row r="78" spans="1:7" x14ac:dyDescent="0.25">
      <c r="A78" s="21">
        <v>45046</v>
      </c>
      <c r="B78" t="s">
        <v>243</v>
      </c>
      <c r="C78" s="22">
        <v>46</v>
      </c>
      <c r="D78" s="23">
        <v>40000</v>
      </c>
      <c r="E78" s="23">
        <f t="shared" si="2"/>
        <v>1840000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214995000</v>
      </c>
      <c r="G199" s="27">
        <f>SUM(G3:G198)</f>
        <v>205200000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9F80-0B63-674E-B72F-EBE776F205E1}">
  <dimension ref="A1:K200"/>
  <sheetViews>
    <sheetView topLeftCell="A69" zoomScaleNormal="100" zoomScaleSheetLayoutView="100" workbookViewId="0">
      <selection activeCell="E3" sqref="E3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'2022 Хисобот 4'!I3</f>
        <v>14371000</v>
      </c>
      <c r="F3" s="26">
        <v>44761</v>
      </c>
      <c r="G3" s="27">
        <v>4820000</v>
      </c>
      <c r="I3" s="110">
        <f>E199-G199</f>
        <v>24230000</v>
      </c>
      <c r="J3" s="111"/>
    </row>
    <row r="4" spans="1:11" x14ac:dyDescent="0.25">
      <c r="A4" s="21">
        <v>44761</v>
      </c>
      <c r="B4" t="s">
        <v>210</v>
      </c>
      <c r="C4" s="22">
        <v>28</v>
      </c>
      <c r="D4" s="23">
        <v>28000</v>
      </c>
      <c r="E4" s="23">
        <f t="shared" ref="E4:E35" si="0">C4*D4</f>
        <v>784000</v>
      </c>
      <c r="F4" s="26">
        <v>44762</v>
      </c>
      <c r="G4" s="27">
        <v>150000</v>
      </c>
      <c r="I4" s="89" t="s">
        <v>132</v>
      </c>
      <c r="J4" s="90">
        <v>11000</v>
      </c>
    </row>
    <row r="5" spans="1:11" ht="15.75" thickBot="1" x14ac:dyDescent="0.3">
      <c r="A5" s="21"/>
      <c r="B5" t="s">
        <v>211</v>
      </c>
      <c r="C5" s="22">
        <v>12</v>
      </c>
      <c r="D5" s="23">
        <v>28000</v>
      </c>
      <c r="E5" s="67">
        <f t="shared" si="0"/>
        <v>336000</v>
      </c>
      <c r="F5" s="26">
        <v>44763</v>
      </c>
      <c r="G5" s="27">
        <v>500000</v>
      </c>
      <c r="I5" s="112">
        <f>I3/J4</f>
        <v>2202.7272727272725</v>
      </c>
      <c r="J5" s="113"/>
    </row>
    <row r="6" spans="1:11" ht="15.75" thickBot="1" x14ac:dyDescent="0.3">
      <c r="A6" s="21"/>
      <c r="B6" t="s">
        <v>212</v>
      </c>
      <c r="C6" s="22">
        <v>8</v>
      </c>
      <c r="D6" s="23">
        <v>23000</v>
      </c>
      <c r="E6" s="23">
        <f t="shared" si="0"/>
        <v>184000</v>
      </c>
      <c r="F6" s="26">
        <v>44764</v>
      </c>
      <c r="G6" s="27">
        <v>2800000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44764</v>
      </c>
      <c r="B7" t="s">
        <v>213</v>
      </c>
      <c r="C7" s="22">
        <v>128</v>
      </c>
      <c r="D7" s="23">
        <v>38000</v>
      </c>
      <c r="E7" s="23">
        <f t="shared" si="0"/>
        <v>4864000</v>
      </c>
      <c r="F7" s="26">
        <v>44765</v>
      </c>
      <c r="G7" s="27">
        <v>850000</v>
      </c>
    </row>
    <row r="8" spans="1:11" ht="15.75" thickBot="1" x14ac:dyDescent="0.3">
      <c r="A8" s="21">
        <v>44766</v>
      </c>
      <c r="B8" t="s">
        <v>213</v>
      </c>
      <c r="C8" s="22">
        <v>202</v>
      </c>
      <c r="D8" s="23">
        <v>38000</v>
      </c>
      <c r="E8" s="23">
        <f t="shared" si="0"/>
        <v>7676000</v>
      </c>
      <c r="F8" s="85">
        <v>44766</v>
      </c>
      <c r="G8" s="86">
        <v>1010000</v>
      </c>
      <c r="I8" s="29" t="s">
        <v>15</v>
      </c>
      <c r="J8" s="30">
        <f>I3-J6</f>
        <v>-11146000</v>
      </c>
    </row>
    <row r="9" spans="1:11" x14ac:dyDescent="0.25">
      <c r="A9" s="21">
        <v>44768</v>
      </c>
      <c r="B9" t="s">
        <v>213</v>
      </c>
      <c r="C9" s="22">
        <v>38</v>
      </c>
      <c r="D9" s="23">
        <v>38000</v>
      </c>
      <c r="E9" s="23">
        <f t="shared" si="0"/>
        <v>1444000</v>
      </c>
      <c r="F9" s="26">
        <v>44768</v>
      </c>
      <c r="G9" s="27">
        <v>1600000</v>
      </c>
    </row>
    <row r="10" spans="1:11" ht="15.75" thickBot="1" x14ac:dyDescent="0.3">
      <c r="A10" s="43">
        <v>44770</v>
      </c>
      <c r="B10" t="s">
        <v>213</v>
      </c>
      <c r="C10" s="22">
        <v>100</v>
      </c>
      <c r="D10" s="20">
        <v>38000</v>
      </c>
      <c r="E10" s="20">
        <f t="shared" si="0"/>
        <v>3800000</v>
      </c>
      <c r="F10" s="26">
        <v>44769</v>
      </c>
      <c r="G10" s="27">
        <v>2130000</v>
      </c>
    </row>
    <row r="11" spans="1:11" ht="15.75" thickBot="1" x14ac:dyDescent="0.3">
      <c r="A11" s="21">
        <v>44771</v>
      </c>
      <c r="B11" t="s">
        <v>213</v>
      </c>
      <c r="C11" s="22">
        <v>156</v>
      </c>
      <c r="D11" s="23">
        <v>38000</v>
      </c>
      <c r="E11" s="23">
        <f t="shared" si="0"/>
        <v>5928000</v>
      </c>
      <c r="F11" s="26">
        <v>44770</v>
      </c>
      <c r="G11" s="27">
        <v>6350000</v>
      </c>
      <c r="I11" s="54" t="s">
        <v>66</v>
      </c>
      <c r="J11" s="55"/>
    </row>
    <row r="12" spans="1:11" x14ac:dyDescent="0.25">
      <c r="A12" s="21">
        <v>44772</v>
      </c>
      <c r="B12" t="s">
        <v>214</v>
      </c>
      <c r="C12" s="22">
        <v>62</v>
      </c>
      <c r="D12" s="23">
        <v>37000</v>
      </c>
      <c r="E12" s="23">
        <f t="shared" si="0"/>
        <v>2294000</v>
      </c>
      <c r="F12" s="26">
        <v>44771</v>
      </c>
      <c r="G12" s="27">
        <v>150000</v>
      </c>
    </row>
    <row r="13" spans="1:11" x14ac:dyDescent="0.25">
      <c r="A13" s="21">
        <v>44773</v>
      </c>
      <c r="B13" t="s">
        <v>214</v>
      </c>
      <c r="C13" s="22">
        <v>148</v>
      </c>
      <c r="D13" s="23">
        <v>37000</v>
      </c>
      <c r="E13" s="23">
        <f t="shared" si="0"/>
        <v>5476000</v>
      </c>
      <c r="F13" s="26">
        <v>44772</v>
      </c>
      <c r="G13" s="27">
        <v>3800000</v>
      </c>
    </row>
    <row r="14" spans="1:11" ht="15.75" thickBot="1" x14ac:dyDescent="0.3">
      <c r="A14" s="21">
        <v>44775</v>
      </c>
      <c r="B14" t="s">
        <v>214</v>
      </c>
      <c r="C14" s="22">
        <v>154</v>
      </c>
      <c r="D14" s="23">
        <v>37000</v>
      </c>
      <c r="E14" s="23">
        <f t="shared" si="0"/>
        <v>5698000</v>
      </c>
      <c r="F14" s="85">
        <v>44773</v>
      </c>
      <c r="G14" s="86">
        <f>3959000+2491000</f>
        <v>6450000</v>
      </c>
      <c r="H14">
        <v>3959000</v>
      </c>
      <c r="I14" t="s">
        <v>215</v>
      </c>
    </row>
    <row r="15" spans="1:11" x14ac:dyDescent="0.25">
      <c r="A15" s="21">
        <v>44776</v>
      </c>
      <c r="B15" t="s">
        <v>213</v>
      </c>
      <c r="C15" s="22">
        <v>128</v>
      </c>
      <c r="D15" s="23">
        <v>38000</v>
      </c>
      <c r="E15" s="23">
        <f t="shared" si="0"/>
        <v>4864000</v>
      </c>
      <c r="F15" s="26">
        <v>44775</v>
      </c>
      <c r="G15" s="27">
        <v>6300000</v>
      </c>
      <c r="I15" s="114"/>
      <c r="J15" s="115"/>
    </row>
    <row r="16" spans="1:11" ht="15.75" thickBot="1" x14ac:dyDescent="0.3">
      <c r="A16" s="21">
        <v>44778</v>
      </c>
      <c r="B16" t="s">
        <v>216</v>
      </c>
      <c r="C16" s="22">
        <v>78</v>
      </c>
      <c r="D16" s="23">
        <v>37000</v>
      </c>
      <c r="E16" s="23">
        <f t="shared" si="0"/>
        <v>2886000</v>
      </c>
      <c r="F16" s="26">
        <v>44776</v>
      </c>
      <c r="G16" s="27">
        <f>13850000+1150000</f>
        <v>15000000</v>
      </c>
      <c r="I16" s="80"/>
      <c r="J16" s="81"/>
    </row>
    <row r="17" spans="1:7" x14ac:dyDescent="0.25">
      <c r="A17" s="21">
        <v>44779</v>
      </c>
      <c r="B17" t="s">
        <v>216</v>
      </c>
      <c r="C17" s="22">
        <v>176</v>
      </c>
      <c r="D17" s="23">
        <v>37000</v>
      </c>
      <c r="E17" s="23">
        <f t="shared" si="0"/>
        <v>6512000</v>
      </c>
      <c r="F17" s="26">
        <v>44777</v>
      </c>
      <c r="G17" s="27">
        <v>1700000</v>
      </c>
    </row>
    <row r="18" spans="1:7" x14ac:dyDescent="0.25">
      <c r="A18" s="21">
        <v>44779</v>
      </c>
      <c r="B18" t="s">
        <v>213</v>
      </c>
      <c r="C18" s="22">
        <v>30</v>
      </c>
      <c r="D18" s="23">
        <v>38000</v>
      </c>
      <c r="E18" s="23">
        <f t="shared" si="0"/>
        <v>1140000</v>
      </c>
      <c r="F18" s="26">
        <v>44778</v>
      </c>
      <c r="G18" s="27">
        <v>3550000</v>
      </c>
    </row>
    <row r="19" spans="1:7" x14ac:dyDescent="0.25">
      <c r="A19" s="21">
        <v>44780</v>
      </c>
      <c r="B19" t="s">
        <v>213</v>
      </c>
      <c r="C19" s="22">
        <v>120</v>
      </c>
      <c r="D19" s="23">
        <v>38000</v>
      </c>
      <c r="E19" s="23">
        <f t="shared" si="0"/>
        <v>4560000</v>
      </c>
      <c r="F19" s="45">
        <v>44779</v>
      </c>
      <c r="G19" s="17">
        <v>926000</v>
      </c>
    </row>
    <row r="20" spans="1:7" x14ac:dyDescent="0.25">
      <c r="A20" s="43">
        <v>44780</v>
      </c>
      <c r="B20" t="s">
        <v>214</v>
      </c>
      <c r="C20" s="22">
        <v>60</v>
      </c>
      <c r="D20" s="20">
        <v>37000</v>
      </c>
      <c r="E20" s="67">
        <f t="shared" si="0"/>
        <v>2220000</v>
      </c>
      <c r="F20" s="85">
        <v>44780</v>
      </c>
      <c r="G20" s="86">
        <v>8168000</v>
      </c>
    </row>
    <row r="21" spans="1:7" x14ac:dyDescent="0.25">
      <c r="A21" s="21">
        <v>44780</v>
      </c>
      <c r="B21" t="s">
        <v>216</v>
      </c>
      <c r="C21" s="22">
        <v>32</v>
      </c>
      <c r="D21" s="23">
        <v>37000</v>
      </c>
      <c r="E21" s="23">
        <f t="shared" si="0"/>
        <v>1184000</v>
      </c>
      <c r="F21" s="26">
        <v>44782</v>
      </c>
      <c r="G21" s="27">
        <v>12115000</v>
      </c>
    </row>
    <row r="22" spans="1:7" x14ac:dyDescent="0.25">
      <c r="A22" s="21">
        <v>44780</v>
      </c>
      <c r="B22" t="s">
        <v>217</v>
      </c>
      <c r="C22" s="22">
        <v>33</v>
      </c>
      <c r="D22" s="23">
        <v>38000</v>
      </c>
      <c r="E22" s="23">
        <f t="shared" si="0"/>
        <v>1254000</v>
      </c>
      <c r="F22" s="26">
        <v>44783</v>
      </c>
      <c r="G22" s="27">
        <v>6550000</v>
      </c>
    </row>
    <row r="23" spans="1:7" x14ac:dyDescent="0.25">
      <c r="A23" s="21">
        <v>44780</v>
      </c>
      <c r="B23" t="s">
        <v>209</v>
      </c>
      <c r="C23" s="22">
        <v>36</v>
      </c>
      <c r="D23" s="23">
        <v>35000</v>
      </c>
      <c r="E23" s="23">
        <f t="shared" si="0"/>
        <v>1260000</v>
      </c>
      <c r="F23" s="26">
        <v>44784</v>
      </c>
      <c r="G23" s="27">
        <v>600000</v>
      </c>
    </row>
    <row r="24" spans="1:7" x14ac:dyDescent="0.25">
      <c r="A24" s="21">
        <v>44780</v>
      </c>
      <c r="B24" t="s">
        <v>218</v>
      </c>
      <c r="C24" s="22">
        <v>78</v>
      </c>
      <c r="D24" s="23">
        <v>38000</v>
      </c>
      <c r="E24" s="23">
        <f t="shared" si="0"/>
        <v>2964000</v>
      </c>
      <c r="F24" s="26">
        <v>44785</v>
      </c>
      <c r="G24" s="27">
        <v>5850000</v>
      </c>
    </row>
    <row r="25" spans="1:7" x14ac:dyDescent="0.25">
      <c r="A25" s="21">
        <v>44780</v>
      </c>
      <c r="B25" t="s">
        <v>219</v>
      </c>
      <c r="C25" s="22">
        <v>64</v>
      </c>
      <c r="D25" s="23">
        <v>42000</v>
      </c>
      <c r="E25" s="23">
        <f t="shared" si="0"/>
        <v>2688000</v>
      </c>
      <c r="F25" s="26">
        <v>44786</v>
      </c>
      <c r="G25" s="27">
        <v>2000000</v>
      </c>
    </row>
    <row r="26" spans="1:7" x14ac:dyDescent="0.25">
      <c r="A26" s="21">
        <v>44782</v>
      </c>
      <c r="B26" t="s">
        <v>213</v>
      </c>
      <c r="C26" s="22">
        <v>108</v>
      </c>
      <c r="D26" s="23">
        <v>38000</v>
      </c>
      <c r="E26" s="23">
        <f t="shared" si="0"/>
        <v>4104000</v>
      </c>
      <c r="F26" s="85">
        <v>44787</v>
      </c>
      <c r="G26" s="86">
        <v>5715000</v>
      </c>
    </row>
    <row r="27" spans="1:7" x14ac:dyDescent="0.25">
      <c r="A27" s="21">
        <v>44782</v>
      </c>
      <c r="B27" t="s">
        <v>214</v>
      </c>
      <c r="C27" s="22">
        <v>120</v>
      </c>
      <c r="D27" s="23">
        <v>37000</v>
      </c>
      <c r="E27" s="23">
        <f t="shared" si="0"/>
        <v>4440000</v>
      </c>
      <c r="F27" s="26">
        <v>44789</v>
      </c>
      <c r="G27" s="27">
        <v>14000000</v>
      </c>
    </row>
    <row r="28" spans="1:7" x14ac:dyDescent="0.25">
      <c r="A28" s="21">
        <v>44783</v>
      </c>
      <c r="B28" t="s">
        <v>214</v>
      </c>
      <c r="C28" s="22">
        <v>100</v>
      </c>
      <c r="D28" s="23">
        <v>37000</v>
      </c>
      <c r="E28" s="23">
        <f t="shared" si="0"/>
        <v>3700000</v>
      </c>
      <c r="F28" s="45">
        <v>44790</v>
      </c>
      <c r="G28" s="17">
        <f>1200000+9600000+2900000</f>
        <v>13700000</v>
      </c>
    </row>
    <row r="29" spans="1:7" x14ac:dyDescent="0.25">
      <c r="A29" s="21">
        <v>44783</v>
      </c>
      <c r="B29" t="s">
        <v>213</v>
      </c>
      <c r="C29" s="22">
        <v>82</v>
      </c>
      <c r="D29" s="23">
        <v>38000</v>
      </c>
      <c r="E29" s="23">
        <f t="shared" si="0"/>
        <v>3116000</v>
      </c>
      <c r="F29" s="26">
        <v>44791</v>
      </c>
      <c r="G29" s="27">
        <v>13900000</v>
      </c>
    </row>
    <row r="30" spans="1:7" x14ac:dyDescent="0.25">
      <c r="A30" s="21">
        <v>44784</v>
      </c>
      <c r="B30" t="s">
        <v>214</v>
      </c>
      <c r="C30" s="22">
        <v>62</v>
      </c>
      <c r="D30" s="23">
        <v>37000</v>
      </c>
      <c r="E30" s="23">
        <f t="shared" si="0"/>
        <v>2294000</v>
      </c>
      <c r="F30" s="26">
        <v>44792</v>
      </c>
      <c r="G30" s="27">
        <v>7775000</v>
      </c>
    </row>
    <row r="31" spans="1:7" x14ac:dyDescent="0.25">
      <c r="A31" s="21">
        <v>44785</v>
      </c>
      <c r="B31" t="s">
        <v>213</v>
      </c>
      <c r="C31" s="22">
        <v>112</v>
      </c>
      <c r="D31" s="23">
        <v>38000</v>
      </c>
      <c r="E31" s="23">
        <f t="shared" si="0"/>
        <v>4256000</v>
      </c>
      <c r="F31" s="85">
        <v>44793</v>
      </c>
      <c r="G31" s="86">
        <v>7800000</v>
      </c>
    </row>
    <row r="32" spans="1:7" x14ac:dyDescent="0.25">
      <c r="A32" s="43">
        <v>44786</v>
      </c>
      <c r="B32" t="s">
        <v>213</v>
      </c>
      <c r="C32" s="22">
        <v>74</v>
      </c>
      <c r="D32" s="20">
        <v>38000</v>
      </c>
      <c r="E32" s="44">
        <f t="shared" si="0"/>
        <v>2812000</v>
      </c>
      <c r="F32" s="26">
        <v>44794</v>
      </c>
      <c r="G32" s="27">
        <v>7007000</v>
      </c>
    </row>
    <row r="33" spans="1:7" x14ac:dyDescent="0.25">
      <c r="A33" s="21">
        <v>44787</v>
      </c>
      <c r="B33" t="s">
        <v>214</v>
      </c>
      <c r="C33" s="22">
        <v>106</v>
      </c>
      <c r="D33" s="23">
        <v>37000</v>
      </c>
      <c r="E33" s="23">
        <f t="shared" si="0"/>
        <v>3922000</v>
      </c>
      <c r="F33" s="26">
        <v>44796</v>
      </c>
      <c r="G33" s="27">
        <v>3950000</v>
      </c>
    </row>
    <row r="34" spans="1:7" x14ac:dyDescent="0.25">
      <c r="A34" s="21">
        <v>44787</v>
      </c>
      <c r="B34" t="s">
        <v>216</v>
      </c>
      <c r="C34" s="22">
        <v>38</v>
      </c>
      <c r="D34" s="23">
        <v>37000</v>
      </c>
      <c r="E34" s="23">
        <f t="shared" si="0"/>
        <v>1406000</v>
      </c>
      <c r="F34" s="26">
        <v>44797</v>
      </c>
      <c r="G34" s="27">
        <v>2850000</v>
      </c>
    </row>
    <row r="35" spans="1:7" x14ac:dyDescent="0.25">
      <c r="A35" s="21">
        <v>44787</v>
      </c>
      <c r="B35" t="s">
        <v>218</v>
      </c>
      <c r="C35" s="22">
        <v>18</v>
      </c>
      <c r="D35" s="23">
        <v>38000</v>
      </c>
      <c r="E35" s="23">
        <f t="shared" si="0"/>
        <v>684000</v>
      </c>
      <c r="F35" s="26">
        <v>44798</v>
      </c>
      <c r="G35" s="27">
        <v>2200000</v>
      </c>
    </row>
    <row r="36" spans="1:7" x14ac:dyDescent="0.25">
      <c r="A36" s="21">
        <v>44789</v>
      </c>
      <c r="B36" t="s">
        <v>213</v>
      </c>
      <c r="C36" s="22">
        <v>372</v>
      </c>
      <c r="D36" s="23">
        <v>38000</v>
      </c>
      <c r="E36" s="23">
        <f t="shared" ref="E36:E67" si="1">C36*D36</f>
        <v>14136000</v>
      </c>
      <c r="F36" s="26">
        <v>44799</v>
      </c>
      <c r="G36" s="27">
        <v>10000000</v>
      </c>
    </row>
    <row r="37" spans="1:7" x14ac:dyDescent="0.25">
      <c r="A37" s="21">
        <v>44790</v>
      </c>
      <c r="B37" t="s">
        <v>214</v>
      </c>
      <c r="C37" s="22">
        <v>60</v>
      </c>
      <c r="D37" s="23">
        <v>37000</v>
      </c>
      <c r="E37" s="23">
        <f t="shared" si="1"/>
        <v>2220000</v>
      </c>
      <c r="F37" s="26">
        <v>44800</v>
      </c>
      <c r="G37" s="27">
        <v>6200000</v>
      </c>
    </row>
    <row r="38" spans="1:7" x14ac:dyDescent="0.25">
      <c r="A38" s="21">
        <v>44791</v>
      </c>
      <c r="B38" t="s">
        <v>213</v>
      </c>
      <c r="C38" s="22">
        <v>100</v>
      </c>
      <c r="D38" s="23">
        <v>38000</v>
      </c>
      <c r="E38" s="23">
        <f t="shared" si="1"/>
        <v>3800000</v>
      </c>
      <c r="F38" s="85">
        <v>44801</v>
      </c>
      <c r="G38" s="86">
        <v>12137000</v>
      </c>
    </row>
    <row r="39" spans="1:7" x14ac:dyDescent="0.25">
      <c r="A39" s="21">
        <v>44792</v>
      </c>
      <c r="B39" t="s">
        <v>214</v>
      </c>
      <c r="C39" s="22">
        <v>66</v>
      </c>
      <c r="D39" s="23">
        <v>37000</v>
      </c>
      <c r="E39" s="23">
        <f t="shared" si="1"/>
        <v>2442000</v>
      </c>
      <c r="F39" s="26">
        <v>44803</v>
      </c>
      <c r="G39" s="27">
        <v>11000000</v>
      </c>
    </row>
    <row r="40" spans="1:7" x14ac:dyDescent="0.25">
      <c r="A40" s="21">
        <v>44792</v>
      </c>
      <c r="B40" t="s">
        <v>213</v>
      </c>
      <c r="C40" s="22">
        <v>162</v>
      </c>
      <c r="D40" s="23">
        <v>38000</v>
      </c>
      <c r="E40" s="23">
        <f t="shared" si="1"/>
        <v>6156000</v>
      </c>
      <c r="F40" s="26">
        <v>44804</v>
      </c>
      <c r="G40" s="27">
        <v>3200000</v>
      </c>
    </row>
    <row r="41" spans="1:7" x14ac:dyDescent="0.25">
      <c r="A41" s="21">
        <v>44793</v>
      </c>
      <c r="B41" t="s">
        <v>213</v>
      </c>
      <c r="C41" s="22">
        <v>220</v>
      </c>
      <c r="D41" s="23">
        <v>38000</v>
      </c>
      <c r="E41" s="23">
        <f t="shared" si="1"/>
        <v>8360000</v>
      </c>
      <c r="F41" s="45">
        <v>44805</v>
      </c>
      <c r="G41" s="17">
        <f>2200000+2200000+4600000</f>
        <v>9000000</v>
      </c>
    </row>
    <row r="42" spans="1:7" x14ac:dyDescent="0.25">
      <c r="A42" s="21">
        <v>44793</v>
      </c>
      <c r="B42" t="s">
        <v>214</v>
      </c>
      <c r="C42" s="22">
        <v>40</v>
      </c>
      <c r="D42" s="23">
        <v>37000</v>
      </c>
      <c r="E42" s="23">
        <f t="shared" si="1"/>
        <v>1480000</v>
      </c>
      <c r="F42" s="26">
        <v>44806</v>
      </c>
      <c r="G42" s="27">
        <v>4900000</v>
      </c>
    </row>
    <row r="43" spans="1:7" x14ac:dyDescent="0.25">
      <c r="A43" s="21">
        <v>44794</v>
      </c>
      <c r="B43" t="s">
        <v>213</v>
      </c>
      <c r="C43" s="22">
        <f>62+160</f>
        <v>222</v>
      </c>
      <c r="D43" s="23">
        <v>38000</v>
      </c>
      <c r="E43" s="23">
        <f t="shared" si="1"/>
        <v>8436000</v>
      </c>
      <c r="F43" s="26">
        <v>44807</v>
      </c>
      <c r="G43" s="27">
        <v>6000000</v>
      </c>
    </row>
    <row r="44" spans="1:7" x14ac:dyDescent="0.25">
      <c r="A44" s="21">
        <v>44794</v>
      </c>
      <c r="B44" t="s">
        <v>214</v>
      </c>
      <c r="C44" s="22">
        <f>76+72</f>
        <v>148</v>
      </c>
      <c r="D44" s="23">
        <v>37000</v>
      </c>
      <c r="E44" s="23">
        <f t="shared" si="1"/>
        <v>5476000</v>
      </c>
      <c r="F44" s="26">
        <v>44808</v>
      </c>
      <c r="G44" s="27">
        <v>7510000</v>
      </c>
    </row>
    <row r="45" spans="1:7" x14ac:dyDescent="0.25">
      <c r="A45" s="21">
        <v>44796</v>
      </c>
      <c r="B45" t="s">
        <v>214</v>
      </c>
      <c r="C45" s="22">
        <v>102</v>
      </c>
      <c r="D45" s="23">
        <v>37000</v>
      </c>
      <c r="E45" s="23">
        <f t="shared" si="1"/>
        <v>3774000</v>
      </c>
      <c r="F45" s="85">
        <v>44810</v>
      </c>
      <c r="G45" s="86">
        <v>16200000</v>
      </c>
    </row>
    <row r="46" spans="1:7" x14ac:dyDescent="0.25">
      <c r="A46" s="21">
        <v>44797</v>
      </c>
      <c r="B46" t="s">
        <v>219</v>
      </c>
      <c r="C46" s="22">
        <v>72</v>
      </c>
      <c r="D46" s="23">
        <v>42000</v>
      </c>
      <c r="E46" s="23">
        <f t="shared" si="1"/>
        <v>3024000</v>
      </c>
      <c r="F46" s="26">
        <v>44811</v>
      </c>
      <c r="G46" s="27">
        <v>1100000</v>
      </c>
    </row>
    <row r="47" spans="1:7" x14ac:dyDescent="0.25">
      <c r="A47" s="21">
        <v>44798</v>
      </c>
      <c r="B47" t="s">
        <v>213</v>
      </c>
      <c r="C47" s="22">
        <v>52</v>
      </c>
      <c r="D47" s="23">
        <v>38000</v>
      </c>
      <c r="E47" s="23">
        <f t="shared" si="1"/>
        <v>1976000</v>
      </c>
      <c r="F47" s="26">
        <v>44812</v>
      </c>
      <c r="G47" s="27">
        <v>3650000</v>
      </c>
    </row>
    <row r="48" spans="1:7" x14ac:dyDescent="0.25">
      <c r="A48" s="21">
        <v>44798</v>
      </c>
      <c r="B48" t="s">
        <v>219</v>
      </c>
      <c r="C48" s="22">
        <v>26</v>
      </c>
      <c r="D48" s="23">
        <v>42000</v>
      </c>
      <c r="E48" s="23">
        <f t="shared" si="1"/>
        <v>1092000</v>
      </c>
      <c r="F48" s="26">
        <v>44813</v>
      </c>
      <c r="G48" s="27">
        <v>1800000</v>
      </c>
    </row>
    <row r="49" spans="1:7" x14ac:dyDescent="0.25">
      <c r="A49" s="21">
        <v>44799</v>
      </c>
      <c r="B49" t="s">
        <v>213</v>
      </c>
      <c r="C49" s="22">
        <v>232</v>
      </c>
      <c r="D49" s="23">
        <v>38000</v>
      </c>
      <c r="E49" s="23">
        <f t="shared" si="1"/>
        <v>8816000</v>
      </c>
      <c r="F49" s="45">
        <v>44814</v>
      </c>
      <c r="G49" s="17">
        <v>2400000</v>
      </c>
    </row>
    <row r="50" spans="1:7" x14ac:dyDescent="0.25">
      <c r="A50" s="21">
        <v>44800</v>
      </c>
      <c r="B50" t="s">
        <v>213</v>
      </c>
      <c r="C50" s="22">
        <v>252</v>
      </c>
      <c r="D50" s="23">
        <v>38000</v>
      </c>
      <c r="E50" s="23">
        <f t="shared" si="1"/>
        <v>9576000</v>
      </c>
      <c r="F50" s="26"/>
      <c r="G50" s="27"/>
    </row>
    <row r="51" spans="1:7" x14ac:dyDescent="0.25">
      <c r="A51" s="21">
        <v>44801</v>
      </c>
      <c r="B51" t="s">
        <v>213</v>
      </c>
      <c r="C51" s="22">
        <v>102</v>
      </c>
      <c r="D51" s="23">
        <v>38000</v>
      </c>
      <c r="E51" s="23">
        <f t="shared" si="1"/>
        <v>3876000</v>
      </c>
      <c r="F51" s="85"/>
      <c r="G51" s="86"/>
    </row>
    <row r="52" spans="1:7" x14ac:dyDescent="0.25">
      <c r="A52" s="43">
        <v>44801</v>
      </c>
      <c r="B52" t="s">
        <v>220</v>
      </c>
      <c r="C52" s="22">
        <v>150</v>
      </c>
      <c r="D52" s="20">
        <v>40000</v>
      </c>
      <c r="E52" s="23">
        <f t="shared" si="1"/>
        <v>6000000</v>
      </c>
      <c r="F52" s="26"/>
      <c r="G52" s="27"/>
    </row>
    <row r="53" spans="1:7" x14ac:dyDescent="0.25">
      <c r="A53" s="21">
        <v>44803</v>
      </c>
      <c r="B53" t="s">
        <v>213</v>
      </c>
      <c r="C53" s="22">
        <v>80</v>
      </c>
      <c r="D53" s="23">
        <v>38000</v>
      </c>
      <c r="E53" s="23">
        <f t="shared" si="1"/>
        <v>3040000</v>
      </c>
      <c r="F53" s="26"/>
      <c r="G53" s="27"/>
    </row>
    <row r="54" spans="1:7" x14ac:dyDescent="0.25">
      <c r="A54" s="21">
        <v>44803</v>
      </c>
      <c r="B54" t="s">
        <v>214</v>
      </c>
      <c r="C54" s="22">
        <v>80</v>
      </c>
      <c r="D54" s="23">
        <v>37000</v>
      </c>
      <c r="E54" s="23">
        <f t="shared" si="1"/>
        <v>2960000</v>
      </c>
      <c r="F54" s="26"/>
      <c r="G54" s="27"/>
    </row>
    <row r="55" spans="1:7" x14ac:dyDescent="0.25">
      <c r="A55" s="21">
        <v>44803</v>
      </c>
      <c r="B55" t="s">
        <v>220</v>
      </c>
      <c r="C55" s="22">
        <v>100</v>
      </c>
      <c r="D55" s="23">
        <v>40000</v>
      </c>
      <c r="E55" s="23">
        <f t="shared" si="1"/>
        <v>4000000</v>
      </c>
      <c r="F55" s="26"/>
      <c r="G55" s="27"/>
    </row>
    <row r="56" spans="1:7" x14ac:dyDescent="0.25">
      <c r="A56" s="21">
        <v>44804</v>
      </c>
      <c r="B56" t="s">
        <v>214</v>
      </c>
      <c r="C56" s="22">
        <v>60</v>
      </c>
      <c r="D56" s="23">
        <v>37000</v>
      </c>
      <c r="E56" s="23">
        <f t="shared" si="1"/>
        <v>2220000</v>
      </c>
      <c r="F56" s="26"/>
      <c r="G56" s="27"/>
    </row>
    <row r="57" spans="1:7" x14ac:dyDescent="0.25">
      <c r="A57" s="21">
        <v>44805</v>
      </c>
      <c r="B57" t="s">
        <v>213</v>
      </c>
      <c r="C57" s="22">
        <v>160</v>
      </c>
      <c r="D57" s="23">
        <v>38000</v>
      </c>
      <c r="E57" s="23">
        <f t="shared" si="1"/>
        <v>6080000</v>
      </c>
      <c r="F57" s="94"/>
      <c r="G57" s="95"/>
    </row>
    <row r="58" spans="1:7" x14ac:dyDescent="0.25">
      <c r="A58" s="21">
        <v>44805</v>
      </c>
      <c r="B58" t="s">
        <v>214</v>
      </c>
      <c r="C58" s="22">
        <v>160</v>
      </c>
      <c r="D58" s="23">
        <v>37000</v>
      </c>
      <c r="E58" s="23">
        <f t="shared" si="1"/>
        <v>5920000</v>
      </c>
      <c r="F58" s="26"/>
      <c r="G58" s="27"/>
    </row>
    <row r="59" spans="1:7" x14ac:dyDescent="0.25">
      <c r="A59" s="21">
        <v>44805</v>
      </c>
      <c r="B59" t="s">
        <v>220</v>
      </c>
      <c r="C59" s="22">
        <v>16</v>
      </c>
      <c r="D59" s="23">
        <v>40000</v>
      </c>
      <c r="E59" s="23">
        <f t="shared" si="1"/>
        <v>640000</v>
      </c>
      <c r="F59" s="26"/>
      <c r="G59" s="27"/>
    </row>
    <row r="60" spans="1:7" x14ac:dyDescent="0.25">
      <c r="A60" s="21">
        <v>44806</v>
      </c>
      <c r="B60" t="s">
        <v>213</v>
      </c>
      <c r="C60" s="22">
        <v>90</v>
      </c>
      <c r="D60" s="23">
        <v>38000</v>
      </c>
      <c r="E60" s="23">
        <f t="shared" si="1"/>
        <v>3420000</v>
      </c>
      <c r="F60" s="26"/>
      <c r="G60" s="27"/>
    </row>
    <row r="61" spans="1:7" x14ac:dyDescent="0.25">
      <c r="A61" s="21"/>
      <c r="B61" t="s">
        <v>220</v>
      </c>
      <c r="C61" s="22">
        <v>12</v>
      </c>
      <c r="D61" s="23">
        <v>40000</v>
      </c>
      <c r="E61" s="23">
        <f t="shared" si="1"/>
        <v>480000</v>
      </c>
      <c r="F61" s="26"/>
      <c r="G61" s="27"/>
    </row>
    <row r="62" spans="1:7" x14ac:dyDescent="0.25">
      <c r="A62" s="21">
        <v>44807</v>
      </c>
      <c r="B62" t="s">
        <v>213</v>
      </c>
      <c r="C62" s="22">
        <v>124</v>
      </c>
      <c r="D62" s="23">
        <v>38000</v>
      </c>
      <c r="E62" s="23">
        <f t="shared" si="1"/>
        <v>4712000</v>
      </c>
      <c r="F62" s="26"/>
      <c r="G62" s="27"/>
    </row>
    <row r="63" spans="1:7" x14ac:dyDescent="0.25">
      <c r="A63" s="21">
        <v>44808</v>
      </c>
      <c r="B63" t="s">
        <v>213</v>
      </c>
      <c r="C63" s="22">
        <v>286</v>
      </c>
      <c r="D63" s="23">
        <v>38000</v>
      </c>
      <c r="E63" s="23">
        <f t="shared" si="1"/>
        <v>10868000</v>
      </c>
      <c r="F63" s="85"/>
      <c r="G63" s="86"/>
    </row>
    <row r="64" spans="1:7" x14ac:dyDescent="0.25">
      <c r="A64" s="43">
        <v>44810</v>
      </c>
      <c r="B64" t="s">
        <v>213</v>
      </c>
      <c r="C64" s="22">
        <v>78</v>
      </c>
      <c r="D64" s="20">
        <v>38000</v>
      </c>
      <c r="E64" s="67">
        <f t="shared" si="1"/>
        <v>2964000</v>
      </c>
      <c r="F64" s="45"/>
      <c r="G64" s="17"/>
    </row>
    <row r="65" spans="1:7" x14ac:dyDescent="0.25">
      <c r="A65" s="21"/>
      <c r="B65" t="s">
        <v>220</v>
      </c>
      <c r="C65" s="22">
        <v>100</v>
      </c>
      <c r="D65" s="23">
        <v>40000</v>
      </c>
      <c r="E65" s="23">
        <f t="shared" si="1"/>
        <v>4000000</v>
      </c>
      <c r="F65" s="26"/>
      <c r="G65" s="27"/>
    </row>
    <row r="66" spans="1:7" x14ac:dyDescent="0.25">
      <c r="A66" s="21">
        <v>44811</v>
      </c>
      <c r="B66" t="s">
        <v>220</v>
      </c>
      <c r="C66" s="22">
        <v>64</v>
      </c>
      <c r="D66" s="23">
        <v>40000</v>
      </c>
      <c r="E66" s="23">
        <f t="shared" si="1"/>
        <v>2560000</v>
      </c>
      <c r="F66" s="26"/>
      <c r="G66" s="27"/>
    </row>
    <row r="67" spans="1:7" x14ac:dyDescent="0.25">
      <c r="A67" s="43">
        <v>44812</v>
      </c>
      <c r="B67" t="s">
        <v>213</v>
      </c>
      <c r="C67" s="22">
        <v>172</v>
      </c>
      <c r="D67" s="20">
        <v>38000</v>
      </c>
      <c r="E67" s="20">
        <f t="shared" si="1"/>
        <v>6536000</v>
      </c>
      <c r="F67" s="26"/>
      <c r="G67" s="27"/>
    </row>
    <row r="68" spans="1:7" x14ac:dyDescent="0.25">
      <c r="A68" s="21">
        <v>44813</v>
      </c>
      <c r="B68" t="s">
        <v>213</v>
      </c>
      <c r="C68" s="22">
        <v>264</v>
      </c>
      <c r="D68" s="23">
        <v>38000</v>
      </c>
      <c r="E68" s="23">
        <f t="shared" ref="E68:E99" si="2">C68*D68</f>
        <v>10032000</v>
      </c>
      <c r="F68" s="26"/>
      <c r="G68" s="27"/>
    </row>
    <row r="69" spans="1:7" x14ac:dyDescent="0.25">
      <c r="A69" s="21">
        <v>44814</v>
      </c>
      <c r="B69" t="s">
        <v>220</v>
      </c>
      <c r="C69" s="22">
        <v>28</v>
      </c>
      <c r="D69" s="23">
        <v>40000</v>
      </c>
      <c r="E69" s="23">
        <f t="shared" si="2"/>
        <v>1120000</v>
      </c>
      <c r="F69" s="26"/>
      <c r="G69" s="27"/>
    </row>
    <row r="70" spans="1:7" x14ac:dyDescent="0.25">
      <c r="A70" s="21"/>
      <c r="B70" t="s">
        <v>213</v>
      </c>
      <c r="C70" s="22">
        <v>100</v>
      </c>
      <c r="D70" s="23">
        <v>38000</v>
      </c>
      <c r="E70" s="23">
        <f t="shared" si="2"/>
        <v>3800000</v>
      </c>
      <c r="F70" s="26"/>
      <c r="G70" s="27"/>
    </row>
    <row r="71" spans="1:7" x14ac:dyDescent="0.25">
      <c r="A71" s="21">
        <v>44815</v>
      </c>
      <c r="B71" t="s">
        <v>214</v>
      </c>
      <c r="C71" s="22">
        <v>100</v>
      </c>
      <c r="D71" s="23">
        <v>37000</v>
      </c>
      <c r="E71" s="23">
        <f t="shared" si="2"/>
        <v>3700000</v>
      </c>
      <c r="F71" s="26"/>
      <c r="G71" s="27"/>
    </row>
    <row r="72" spans="1:7" x14ac:dyDescent="0.25">
      <c r="A72" s="82"/>
      <c r="B72" s="50" t="s">
        <v>213</v>
      </c>
      <c r="C72" s="83">
        <v>90</v>
      </c>
      <c r="D72" s="84">
        <v>38000</v>
      </c>
      <c r="E72" s="84">
        <f t="shared" si="2"/>
        <v>3420000</v>
      </c>
      <c r="F72" s="45"/>
    </row>
    <row r="73" spans="1:7" x14ac:dyDescent="0.25">
      <c r="A73" s="21"/>
      <c r="B73" t="s">
        <v>219</v>
      </c>
      <c r="C73" s="22">
        <v>80</v>
      </c>
      <c r="D73" s="23">
        <v>42000</v>
      </c>
      <c r="E73" s="23">
        <f t="shared" si="2"/>
        <v>3360000</v>
      </c>
      <c r="F73" s="26"/>
      <c r="G73" s="27"/>
    </row>
    <row r="74" spans="1:7" x14ac:dyDescent="0.25">
      <c r="A74" s="43"/>
      <c r="E74" s="20">
        <f t="shared" si="2"/>
        <v>0</v>
      </c>
      <c r="F74" s="26"/>
      <c r="G74" s="27"/>
    </row>
    <row r="75" spans="1:7" x14ac:dyDescent="0.25">
      <c r="A75" s="21"/>
      <c r="D75" s="23"/>
      <c r="E75" s="23">
        <f t="shared" si="2"/>
        <v>0</v>
      </c>
      <c r="F75" s="26"/>
      <c r="G75" s="27"/>
    </row>
    <row r="76" spans="1:7" x14ac:dyDescent="0.25">
      <c r="A76" s="21"/>
      <c r="D76" s="23"/>
      <c r="E76" s="23">
        <f t="shared" si="2"/>
        <v>0</v>
      </c>
      <c r="F76" s="26"/>
      <c r="G76" s="27"/>
    </row>
    <row r="77" spans="1:7" x14ac:dyDescent="0.25">
      <c r="A77" s="21"/>
      <c r="D77" s="23"/>
      <c r="E77" s="23">
        <f t="shared" si="2"/>
        <v>0</v>
      </c>
      <c r="F77" s="26"/>
      <c r="G77" s="27"/>
    </row>
    <row r="78" spans="1:7" x14ac:dyDescent="0.25">
      <c r="A78" s="21"/>
      <c r="D78" s="23"/>
      <c r="E78" s="23">
        <f t="shared" si="2"/>
        <v>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291593000</v>
      </c>
      <c r="G199" s="27">
        <f>SUM(G3:G198)</f>
        <v>267363000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9DCC5-840F-5A46-997B-2D5B12730639}">
  <dimension ref="A1:K200"/>
  <sheetViews>
    <sheetView topLeftCell="G1" zoomScaleNormal="100" zoomScaleSheetLayoutView="100" workbookViewId="0">
      <selection activeCell="I3" sqref="I3:J3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'2021 Хисобот 3'!I3</f>
        <v>30649000</v>
      </c>
      <c r="F3" s="26">
        <v>44656</v>
      </c>
      <c r="G3" s="27">
        <f>170000+1400000</f>
        <v>1570000</v>
      </c>
      <c r="I3" s="110">
        <f>E199-G199</f>
        <v>14371000</v>
      </c>
      <c r="J3" s="111"/>
    </row>
    <row r="4" spans="1:11" x14ac:dyDescent="0.25">
      <c r="A4" s="21">
        <v>44656</v>
      </c>
      <c r="B4" t="s">
        <v>169</v>
      </c>
      <c r="C4" s="22">
        <v>96</v>
      </c>
      <c r="D4" s="23">
        <v>28000</v>
      </c>
      <c r="E4" s="23">
        <f t="shared" ref="E4:E35" si="0">C4*D4</f>
        <v>2688000</v>
      </c>
      <c r="F4" s="26">
        <v>44658</v>
      </c>
      <c r="G4" s="27">
        <v>3780000</v>
      </c>
      <c r="I4" s="89" t="s">
        <v>132</v>
      </c>
      <c r="J4" s="90">
        <v>11200</v>
      </c>
    </row>
    <row r="5" spans="1:11" ht="15.75" thickBot="1" x14ac:dyDescent="0.3">
      <c r="A5" s="21">
        <v>44658</v>
      </c>
      <c r="B5" t="s">
        <v>170</v>
      </c>
      <c r="C5" s="22">
        <v>22</v>
      </c>
      <c r="D5" s="23">
        <v>22000</v>
      </c>
      <c r="E5" s="67">
        <f t="shared" si="0"/>
        <v>484000</v>
      </c>
      <c r="F5" s="26">
        <v>44659</v>
      </c>
      <c r="G5" s="27">
        <v>2800000</v>
      </c>
      <c r="I5" s="112">
        <f>I3/J4</f>
        <v>1283.125</v>
      </c>
      <c r="J5" s="113"/>
    </row>
    <row r="6" spans="1:11" ht="15.75" thickBot="1" x14ac:dyDescent="0.3">
      <c r="A6" s="21">
        <v>44658</v>
      </c>
      <c r="B6" t="s">
        <v>171</v>
      </c>
      <c r="C6" s="22">
        <v>72</v>
      </c>
      <c r="D6" s="23">
        <v>27000</v>
      </c>
      <c r="E6" s="23">
        <f t="shared" si="0"/>
        <v>1944000</v>
      </c>
      <c r="F6" s="26">
        <v>44660</v>
      </c>
      <c r="G6" s="27">
        <v>6120000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/>
      <c r="B7" t="s">
        <v>172</v>
      </c>
      <c r="C7" s="22">
        <v>72</v>
      </c>
      <c r="D7" s="23">
        <v>27000</v>
      </c>
      <c r="E7" s="23">
        <f t="shared" si="0"/>
        <v>1944000</v>
      </c>
      <c r="F7" s="26">
        <v>44661</v>
      </c>
      <c r="G7" s="27">
        <v>24071000</v>
      </c>
    </row>
    <row r="8" spans="1:11" ht="15.75" thickBot="1" x14ac:dyDescent="0.3">
      <c r="A8" s="21"/>
      <c r="B8" t="s">
        <v>173</v>
      </c>
      <c r="C8" s="22">
        <v>30</v>
      </c>
      <c r="D8" s="23">
        <v>18000</v>
      </c>
      <c r="E8" s="23">
        <f t="shared" si="0"/>
        <v>540000</v>
      </c>
      <c r="F8" s="85">
        <v>44661</v>
      </c>
      <c r="G8" s="86">
        <v>4216500</v>
      </c>
      <c r="I8" s="29" t="s">
        <v>15</v>
      </c>
      <c r="J8" s="30">
        <f>I3-J6</f>
        <v>-21005000</v>
      </c>
    </row>
    <row r="9" spans="1:11" x14ac:dyDescent="0.25">
      <c r="A9" s="21"/>
      <c r="B9" t="s">
        <v>174</v>
      </c>
      <c r="C9" s="22">
        <v>12</v>
      </c>
      <c r="D9" s="23">
        <v>22000</v>
      </c>
      <c r="E9" s="23">
        <f t="shared" si="0"/>
        <v>264000</v>
      </c>
      <c r="F9" s="26">
        <v>44663</v>
      </c>
      <c r="G9" s="27">
        <v>6100000</v>
      </c>
    </row>
    <row r="10" spans="1:11" ht="15.75" thickBot="1" x14ac:dyDescent="0.3">
      <c r="A10" s="43"/>
      <c r="B10" t="s">
        <v>175</v>
      </c>
      <c r="C10" s="22">
        <v>69</v>
      </c>
      <c r="D10" s="20">
        <v>12000</v>
      </c>
      <c r="E10" s="20">
        <f t="shared" si="0"/>
        <v>828000</v>
      </c>
      <c r="F10" s="26">
        <v>44664</v>
      </c>
      <c r="G10" s="27">
        <v>250000</v>
      </c>
    </row>
    <row r="11" spans="1:11" ht="15.75" thickBot="1" x14ac:dyDescent="0.3">
      <c r="A11" s="21"/>
      <c r="B11" t="s">
        <v>176</v>
      </c>
      <c r="C11" s="22">
        <v>48</v>
      </c>
      <c r="D11" s="23">
        <v>24000</v>
      </c>
      <c r="E11" s="23">
        <f t="shared" si="0"/>
        <v>1152000</v>
      </c>
      <c r="F11" s="26">
        <v>44665</v>
      </c>
      <c r="G11" s="27">
        <v>1450000</v>
      </c>
      <c r="I11" s="54" t="s">
        <v>66</v>
      </c>
      <c r="J11" s="55"/>
    </row>
    <row r="12" spans="1:11" x14ac:dyDescent="0.25">
      <c r="A12" s="21"/>
      <c r="B12" t="s">
        <v>177</v>
      </c>
      <c r="C12" s="22">
        <v>171</v>
      </c>
      <c r="D12" s="23">
        <v>14500</v>
      </c>
      <c r="E12" s="23">
        <f t="shared" si="0"/>
        <v>2479500</v>
      </c>
      <c r="F12" s="26">
        <v>44666</v>
      </c>
      <c r="G12" s="27">
        <v>2425000</v>
      </c>
    </row>
    <row r="13" spans="1:11" x14ac:dyDescent="0.25">
      <c r="A13" s="21"/>
      <c r="B13" t="s">
        <v>178</v>
      </c>
      <c r="C13" s="22">
        <v>6</v>
      </c>
      <c r="D13" s="23">
        <v>25000</v>
      </c>
      <c r="E13" s="23">
        <f t="shared" si="0"/>
        <v>150000</v>
      </c>
      <c r="F13" s="26">
        <v>44667</v>
      </c>
      <c r="G13" s="27">
        <v>700000</v>
      </c>
    </row>
    <row r="14" spans="1:11" ht="15.75" thickBot="1" x14ac:dyDescent="0.3">
      <c r="A14" s="21"/>
      <c r="B14" t="s">
        <v>179</v>
      </c>
      <c r="C14" s="22">
        <v>6</v>
      </c>
      <c r="D14" s="23">
        <v>33000</v>
      </c>
      <c r="E14" s="23">
        <f t="shared" si="0"/>
        <v>198000</v>
      </c>
      <c r="F14" s="85">
        <v>44668</v>
      </c>
      <c r="G14" s="86">
        <v>7393000</v>
      </c>
    </row>
    <row r="15" spans="1:11" x14ac:dyDescent="0.25">
      <c r="A15" s="21"/>
      <c r="B15" t="s">
        <v>180</v>
      </c>
      <c r="C15" s="22">
        <v>10</v>
      </c>
      <c r="D15" s="23">
        <v>27000</v>
      </c>
      <c r="E15" s="23">
        <f t="shared" si="0"/>
        <v>270000</v>
      </c>
      <c r="F15" s="26">
        <v>44670</v>
      </c>
      <c r="G15" s="27">
        <v>4900000</v>
      </c>
      <c r="I15" s="114"/>
      <c r="J15" s="115"/>
    </row>
    <row r="16" spans="1:11" ht="15.75" thickBot="1" x14ac:dyDescent="0.3">
      <c r="A16" s="21"/>
      <c r="B16" t="s">
        <v>181</v>
      </c>
      <c r="C16" s="22">
        <v>66</v>
      </c>
      <c r="D16" s="23">
        <v>26000</v>
      </c>
      <c r="E16" s="23">
        <f t="shared" si="0"/>
        <v>1716000</v>
      </c>
      <c r="F16" s="26">
        <v>44671</v>
      </c>
      <c r="G16" s="27">
        <v>7865000</v>
      </c>
      <c r="I16" s="80"/>
      <c r="J16" s="81"/>
    </row>
    <row r="17" spans="1:8" x14ac:dyDescent="0.25">
      <c r="A17" s="21">
        <v>44659</v>
      </c>
      <c r="B17" t="s">
        <v>171</v>
      </c>
      <c r="C17" s="22">
        <v>42</v>
      </c>
      <c r="D17" s="23">
        <v>27000</v>
      </c>
      <c r="E17" s="23">
        <f t="shared" si="0"/>
        <v>1134000</v>
      </c>
      <c r="F17" s="26">
        <v>44672</v>
      </c>
      <c r="G17" s="27">
        <v>5165000</v>
      </c>
    </row>
    <row r="18" spans="1:8" x14ac:dyDescent="0.25">
      <c r="A18" s="21"/>
      <c r="B18" t="s">
        <v>181</v>
      </c>
      <c r="C18" s="22">
        <v>150</v>
      </c>
      <c r="D18" s="23">
        <v>26000</v>
      </c>
      <c r="E18" s="23">
        <f t="shared" si="0"/>
        <v>3900000</v>
      </c>
      <c r="F18" s="26">
        <v>44673</v>
      </c>
      <c r="G18" s="27">
        <v>8120000</v>
      </c>
    </row>
    <row r="19" spans="1:8" x14ac:dyDescent="0.25">
      <c r="A19" s="21">
        <v>44661</v>
      </c>
      <c r="B19" t="s">
        <v>182</v>
      </c>
      <c r="C19" s="22">
        <v>74</v>
      </c>
      <c r="D19" s="23">
        <v>32000</v>
      </c>
      <c r="E19" s="23">
        <f t="shared" si="0"/>
        <v>2368000</v>
      </c>
      <c r="F19" s="45">
        <v>44674</v>
      </c>
      <c r="G19" s="17">
        <v>1000000</v>
      </c>
    </row>
    <row r="20" spans="1:8" x14ac:dyDescent="0.25">
      <c r="A20" s="43"/>
      <c r="B20" t="s">
        <v>183</v>
      </c>
      <c r="C20" s="22">
        <v>40</v>
      </c>
      <c r="D20" s="20">
        <v>30000</v>
      </c>
      <c r="E20" s="67">
        <f t="shared" si="0"/>
        <v>1200000</v>
      </c>
      <c r="F20" s="85">
        <v>44675</v>
      </c>
      <c r="G20" s="86">
        <f>2604000-5000000</f>
        <v>-2396000</v>
      </c>
    </row>
    <row r="21" spans="1:8" x14ac:dyDescent="0.25">
      <c r="A21" s="21"/>
      <c r="B21" t="s">
        <v>177</v>
      </c>
      <c r="C21" s="22">
        <v>48</v>
      </c>
      <c r="D21" s="23">
        <v>14500</v>
      </c>
      <c r="E21" s="23">
        <f t="shared" si="0"/>
        <v>696000</v>
      </c>
      <c r="F21" s="26">
        <v>44677</v>
      </c>
      <c r="G21" s="27">
        <v>9500000</v>
      </c>
    </row>
    <row r="22" spans="1:8" x14ac:dyDescent="0.25">
      <c r="A22" s="21">
        <v>44663</v>
      </c>
      <c r="B22" t="s">
        <v>183</v>
      </c>
      <c r="C22" s="22">
        <v>124</v>
      </c>
      <c r="D22" s="23">
        <v>30000</v>
      </c>
      <c r="E22" s="23">
        <f t="shared" si="0"/>
        <v>3720000</v>
      </c>
      <c r="F22" s="26">
        <v>44678</v>
      </c>
      <c r="G22" s="27">
        <v>1730000</v>
      </c>
    </row>
    <row r="23" spans="1:8" x14ac:dyDescent="0.25">
      <c r="A23" s="21"/>
      <c r="B23" t="s">
        <v>174</v>
      </c>
      <c r="C23" s="22">
        <v>34</v>
      </c>
      <c r="D23" s="23">
        <v>22000</v>
      </c>
      <c r="E23" s="23">
        <f t="shared" si="0"/>
        <v>748000</v>
      </c>
      <c r="F23" s="26">
        <v>44679</v>
      </c>
      <c r="G23" s="27">
        <v>3210000</v>
      </c>
    </row>
    <row r="24" spans="1:8" x14ac:dyDescent="0.25">
      <c r="A24" s="21">
        <v>44665</v>
      </c>
      <c r="B24" t="s">
        <v>183</v>
      </c>
      <c r="C24" s="22">
        <v>52</v>
      </c>
      <c r="D24" s="23">
        <v>30000</v>
      </c>
      <c r="E24" s="23">
        <f t="shared" si="0"/>
        <v>1560000</v>
      </c>
      <c r="F24" s="26">
        <v>44680</v>
      </c>
      <c r="G24" s="27">
        <f>670000+5000000</f>
        <v>5670000</v>
      </c>
    </row>
    <row r="25" spans="1:8" x14ac:dyDescent="0.25">
      <c r="A25" s="21">
        <v>44666</v>
      </c>
      <c r="B25" t="s">
        <v>182</v>
      </c>
      <c r="C25" s="22">
        <v>28</v>
      </c>
      <c r="D25" s="23">
        <v>32000</v>
      </c>
      <c r="E25" s="23">
        <f t="shared" si="0"/>
        <v>896000</v>
      </c>
      <c r="F25" s="26">
        <v>44681</v>
      </c>
      <c r="G25" s="27">
        <v>1540000</v>
      </c>
    </row>
    <row r="26" spans="1:8" x14ac:dyDescent="0.25">
      <c r="A26" s="21"/>
      <c r="B26" t="s">
        <v>181</v>
      </c>
      <c r="C26" s="22">
        <v>220</v>
      </c>
      <c r="D26" s="23">
        <v>26000</v>
      </c>
      <c r="E26" s="23">
        <f t="shared" si="0"/>
        <v>5720000</v>
      </c>
      <c r="F26" s="85">
        <v>44682</v>
      </c>
      <c r="G26" s="86">
        <v>5916000</v>
      </c>
    </row>
    <row r="27" spans="1:8" x14ac:dyDescent="0.25">
      <c r="A27" s="21">
        <v>44667</v>
      </c>
      <c r="B27" t="s">
        <v>182</v>
      </c>
      <c r="C27" s="22">
        <v>52</v>
      </c>
      <c r="D27" s="23">
        <v>32000</v>
      </c>
      <c r="E27" s="23">
        <f t="shared" si="0"/>
        <v>1664000</v>
      </c>
      <c r="F27" s="26">
        <v>44684</v>
      </c>
      <c r="G27" s="27">
        <v>4500000</v>
      </c>
    </row>
    <row r="28" spans="1:8" x14ac:dyDescent="0.25">
      <c r="A28" s="21"/>
      <c r="B28" t="s">
        <v>181</v>
      </c>
      <c r="C28" s="22">
        <v>54</v>
      </c>
      <c r="D28" s="23">
        <v>26000</v>
      </c>
      <c r="E28" s="23">
        <f t="shared" si="0"/>
        <v>1404000</v>
      </c>
      <c r="F28" s="45">
        <v>44686</v>
      </c>
      <c r="G28" s="25">
        <v>4200000</v>
      </c>
    </row>
    <row r="29" spans="1:8" x14ac:dyDescent="0.25">
      <c r="A29" s="21">
        <v>44668</v>
      </c>
      <c r="B29" t="s">
        <v>183</v>
      </c>
      <c r="C29" s="22">
        <v>98</v>
      </c>
      <c r="D29" s="23">
        <v>30000</v>
      </c>
      <c r="E29" s="23">
        <f t="shared" si="0"/>
        <v>2940000</v>
      </c>
      <c r="F29" s="26">
        <v>44687</v>
      </c>
      <c r="G29" s="27">
        <v>2950000</v>
      </c>
    </row>
    <row r="30" spans="1:8" x14ac:dyDescent="0.25">
      <c r="A30" s="21">
        <v>44670</v>
      </c>
      <c r="B30" t="s">
        <v>182</v>
      </c>
      <c r="C30" s="22">
        <v>104</v>
      </c>
      <c r="D30" s="23">
        <v>32000</v>
      </c>
      <c r="E30" s="23">
        <f t="shared" si="0"/>
        <v>3328000</v>
      </c>
      <c r="F30" s="26">
        <v>44688</v>
      </c>
      <c r="G30" s="27">
        <v>2300000</v>
      </c>
    </row>
    <row r="31" spans="1:8" x14ac:dyDescent="0.25">
      <c r="A31" s="21"/>
      <c r="B31" t="s">
        <v>183</v>
      </c>
      <c r="C31" s="22">
        <v>64</v>
      </c>
      <c r="D31" s="23">
        <v>30000</v>
      </c>
      <c r="E31" s="23">
        <f t="shared" si="0"/>
        <v>1920000</v>
      </c>
      <c r="F31" s="85">
        <v>44689</v>
      </c>
      <c r="G31" s="86">
        <v>7115000</v>
      </c>
    </row>
    <row r="32" spans="1:8" x14ac:dyDescent="0.25">
      <c r="A32" s="43">
        <v>44672</v>
      </c>
      <c r="B32" t="s">
        <v>183</v>
      </c>
      <c r="C32" s="22">
        <v>96</v>
      </c>
      <c r="D32" s="20">
        <v>30000</v>
      </c>
      <c r="E32" s="44">
        <f t="shared" si="0"/>
        <v>2880000</v>
      </c>
      <c r="F32" s="26">
        <v>44689</v>
      </c>
      <c r="G32" s="27">
        <v>244000</v>
      </c>
      <c r="H32" t="s">
        <v>186</v>
      </c>
    </row>
    <row r="33" spans="1:8" x14ac:dyDescent="0.25">
      <c r="A33" s="21"/>
      <c r="B33" t="s">
        <v>184</v>
      </c>
      <c r="C33" s="22">
        <v>52</v>
      </c>
      <c r="D33" s="23">
        <v>30000</v>
      </c>
      <c r="E33" s="23">
        <f t="shared" si="0"/>
        <v>1560000</v>
      </c>
      <c r="F33" s="26">
        <v>44691</v>
      </c>
      <c r="G33" s="27">
        <f>685000+6240000</f>
        <v>6925000</v>
      </c>
    </row>
    <row r="34" spans="1:8" x14ac:dyDescent="0.25">
      <c r="A34" s="21">
        <v>44673</v>
      </c>
      <c r="B34" t="s">
        <v>184</v>
      </c>
      <c r="C34" s="22">
        <v>80</v>
      </c>
      <c r="D34" s="23">
        <v>30000</v>
      </c>
      <c r="E34" s="23">
        <f t="shared" si="0"/>
        <v>2400000</v>
      </c>
      <c r="F34" s="26">
        <v>44692</v>
      </c>
      <c r="G34" s="27">
        <v>2500000</v>
      </c>
    </row>
    <row r="35" spans="1:8" x14ac:dyDescent="0.25">
      <c r="A35" s="21">
        <v>44674</v>
      </c>
      <c r="B35" t="s">
        <v>181</v>
      </c>
      <c r="C35" s="22">
        <v>120</v>
      </c>
      <c r="D35" s="23">
        <v>26000</v>
      </c>
      <c r="E35" s="23">
        <f t="shared" si="0"/>
        <v>3120000</v>
      </c>
      <c r="F35" s="26">
        <v>44693</v>
      </c>
      <c r="G35" s="27">
        <v>3385000</v>
      </c>
    </row>
    <row r="36" spans="1:8" x14ac:dyDescent="0.25">
      <c r="A36" s="21"/>
      <c r="B36" t="s">
        <v>183</v>
      </c>
      <c r="C36" s="22">
        <v>48</v>
      </c>
      <c r="D36" s="23">
        <v>30000</v>
      </c>
      <c r="E36" s="23">
        <f t="shared" ref="E36:E67" si="1">C36*D36</f>
        <v>1440000</v>
      </c>
      <c r="F36" s="26">
        <v>44694</v>
      </c>
      <c r="G36" s="27">
        <f>2770000+90000</f>
        <v>2860000</v>
      </c>
    </row>
    <row r="37" spans="1:8" x14ac:dyDescent="0.25">
      <c r="A37" s="21">
        <v>44675</v>
      </c>
      <c r="B37" t="s">
        <v>181</v>
      </c>
      <c r="C37" s="22">
        <v>100</v>
      </c>
      <c r="D37" s="23">
        <v>26000</v>
      </c>
      <c r="E37" s="23">
        <f t="shared" si="1"/>
        <v>2600000</v>
      </c>
      <c r="F37" s="26">
        <v>44695</v>
      </c>
      <c r="G37" s="27">
        <v>850000</v>
      </c>
    </row>
    <row r="38" spans="1:8" x14ac:dyDescent="0.25">
      <c r="A38" s="21"/>
      <c r="B38" t="s">
        <v>184</v>
      </c>
      <c r="C38" s="22">
        <v>80</v>
      </c>
      <c r="D38" s="23">
        <v>30000</v>
      </c>
      <c r="E38" s="23">
        <f t="shared" si="1"/>
        <v>2400000</v>
      </c>
      <c r="F38" s="85">
        <v>44696</v>
      </c>
      <c r="G38" s="86">
        <v>4736000</v>
      </c>
    </row>
    <row r="39" spans="1:8" x14ac:dyDescent="0.25">
      <c r="A39" s="21"/>
      <c r="B39" t="s">
        <v>182</v>
      </c>
      <c r="C39" s="22">
        <v>124</v>
      </c>
      <c r="D39" s="23">
        <v>32000</v>
      </c>
      <c r="E39" s="23">
        <f t="shared" si="1"/>
        <v>3968000</v>
      </c>
      <c r="F39" s="26">
        <v>44696</v>
      </c>
      <c r="G39" s="27">
        <v>66000</v>
      </c>
      <c r="H39" t="s">
        <v>189</v>
      </c>
    </row>
    <row r="40" spans="1:8" x14ac:dyDescent="0.25">
      <c r="A40" s="21"/>
      <c r="B40" t="s">
        <v>183</v>
      </c>
      <c r="C40" s="22">
        <v>60</v>
      </c>
      <c r="D40" s="23">
        <v>30000</v>
      </c>
      <c r="E40" s="23">
        <f t="shared" si="1"/>
        <v>1800000</v>
      </c>
      <c r="F40" s="26">
        <v>44698</v>
      </c>
      <c r="G40" s="27">
        <v>2110000</v>
      </c>
    </row>
    <row r="41" spans="1:8" x14ac:dyDescent="0.25">
      <c r="A41" s="21">
        <v>44677</v>
      </c>
      <c r="B41" t="s">
        <v>183</v>
      </c>
      <c r="C41" s="22">
        <v>60</v>
      </c>
      <c r="D41" s="23">
        <v>30000</v>
      </c>
      <c r="E41" s="23">
        <f t="shared" si="1"/>
        <v>1800000</v>
      </c>
      <c r="F41" s="45">
        <v>44699</v>
      </c>
      <c r="G41" s="17">
        <v>1100000</v>
      </c>
    </row>
    <row r="42" spans="1:8" x14ac:dyDescent="0.25">
      <c r="A42" s="21"/>
      <c r="B42" t="s">
        <v>184</v>
      </c>
      <c r="C42" s="22">
        <v>64</v>
      </c>
      <c r="D42" s="23">
        <v>30000</v>
      </c>
      <c r="E42" s="23">
        <f t="shared" si="1"/>
        <v>1920000</v>
      </c>
      <c r="F42" s="26">
        <v>44700</v>
      </c>
      <c r="G42" s="27">
        <v>3950000</v>
      </c>
    </row>
    <row r="43" spans="1:8" x14ac:dyDescent="0.25">
      <c r="A43" s="21"/>
      <c r="B43" t="s">
        <v>182</v>
      </c>
      <c r="C43" s="22">
        <v>14</v>
      </c>
      <c r="D43" s="23">
        <v>32000</v>
      </c>
      <c r="E43" s="23">
        <f t="shared" si="1"/>
        <v>448000</v>
      </c>
      <c r="F43" s="26">
        <v>44701</v>
      </c>
      <c r="G43" s="27">
        <v>2310000</v>
      </c>
    </row>
    <row r="44" spans="1:8" x14ac:dyDescent="0.25">
      <c r="A44" s="21">
        <v>44678</v>
      </c>
      <c r="B44" t="s">
        <v>184</v>
      </c>
      <c r="C44" s="22">
        <v>74</v>
      </c>
      <c r="D44" s="23">
        <v>30000</v>
      </c>
      <c r="E44" s="23">
        <f t="shared" si="1"/>
        <v>2220000</v>
      </c>
      <c r="F44" s="26">
        <v>44702</v>
      </c>
      <c r="G44" s="27">
        <v>1560000</v>
      </c>
    </row>
    <row r="45" spans="1:8" x14ac:dyDescent="0.25">
      <c r="A45" s="21"/>
      <c r="B45" t="s">
        <v>182</v>
      </c>
      <c r="C45" s="22">
        <v>6</v>
      </c>
      <c r="D45" s="23">
        <v>32000</v>
      </c>
      <c r="E45" s="23">
        <f t="shared" si="1"/>
        <v>192000</v>
      </c>
      <c r="F45" s="85">
        <v>44703</v>
      </c>
      <c r="G45" s="86">
        <v>201000</v>
      </c>
    </row>
    <row r="46" spans="1:8" x14ac:dyDescent="0.25">
      <c r="A46" s="21"/>
      <c r="B46" t="s">
        <v>181</v>
      </c>
      <c r="C46" s="22">
        <v>64</v>
      </c>
      <c r="D46" s="23">
        <v>26000</v>
      </c>
      <c r="E46" s="23">
        <f t="shared" si="1"/>
        <v>1664000</v>
      </c>
      <c r="F46" s="26">
        <v>44705</v>
      </c>
      <c r="G46" s="27">
        <v>2000000</v>
      </c>
    </row>
    <row r="47" spans="1:8" x14ac:dyDescent="0.25">
      <c r="A47" s="21">
        <v>44679</v>
      </c>
      <c r="B47" t="s">
        <v>181</v>
      </c>
      <c r="C47" s="22">
        <v>110</v>
      </c>
      <c r="D47" s="23">
        <v>26000</v>
      </c>
      <c r="E47" s="23">
        <f t="shared" si="1"/>
        <v>2860000</v>
      </c>
      <c r="F47" s="26">
        <v>44706</v>
      </c>
      <c r="G47" s="27">
        <v>4150000</v>
      </c>
    </row>
    <row r="48" spans="1:8" x14ac:dyDescent="0.25">
      <c r="A48" s="21"/>
      <c r="B48" t="s">
        <v>184</v>
      </c>
      <c r="C48" s="22">
        <v>128</v>
      </c>
      <c r="D48" s="23">
        <v>30000</v>
      </c>
      <c r="E48" s="23">
        <f t="shared" si="1"/>
        <v>3840000</v>
      </c>
      <c r="F48" s="26">
        <v>44707</v>
      </c>
      <c r="G48" s="27">
        <v>10000000</v>
      </c>
    </row>
    <row r="49" spans="1:7" x14ac:dyDescent="0.25">
      <c r="A49" s="21">
        <v>44680</v>
      </c>
      <c r="B49" t="s">
        <v>183</v>
      </c>
      <c r="C49" s="22">
        <v>60</v>
      </c>
      <c r="D49" s="23">
        <v>30000</v>
      </c>
      <c r="E49" s="23">
        <f t="shared" si="1"/>
        <v>1800000</v>
      </c>
      <c r="F49" s="45">
        <v>44708</v>
      </c>
      <c r="G49" s="17">
        <v>215000</v>
      </c>
    </row>
    <row r="50" spans="1:7" x14ac:dyDescent="0.25">
      <c r="A50" s="21"/>
      <c r="B50" t="s">
        <v>185</v>
      </c>
      <c r="C50" s="22">
        <v>40</v>
      </c>
      <c r="D50" s="23">
        <v>30000</v>
      </c>
      <c r="E50" s="23">
        <f t="shared" si="1"/>
        <v>1200000</v>
      </c>
      <c r="F50" s="26">
        <v>44709</v>
      </c>
      <c r="G50" s="27">
        <v>900000</v>
      </c>
    </row>
    <row r="51" spans="1:7" x14ac:dyDescent="0.25">
      <c r="A51" s="21"/>
      <c r="B51" t="s">
        <v>181</v>
      </c>
      <c r="C51" s="22">
        <v>120</v>
      </c>
      <c r="D51" s="23">
        <v>26000</v>
      </c>
      <c r="E51" s="23">
        <f t="shared" si="1"/>
        <v>3120000</v>
      </c>
      <c r="F51" s="85">
        <v>44710</v>
      </c>
      <c r="G51" s="86">
        <v>2629000</v>
      </c>
    </row>
    <row r="52" spans="1:7" x14ac:dyDescent="0.25">
      <c r="A52" s="43">
        <v>44681</v>
      </c>
      <c r="B52" t="s">
        <v>183</v>
      </c>
      <c r="C52" s="22">
        <v>56</v>
      </c>
      <c r="D52" s="20">
        <v>30000</v>
      </c>
      <c r="E52" s="23">
        <f t="shared" si="1"/>
        <v>1680000</v>
      </c>
      <c r="F52" s="26">
        <v>44712</v>
      </c>
      <c r="G52" s="27">
        <v>1950000</v>
      </c>
    </row>
    <row r="53" spans="1:7" x14ac:dyDescent="0.25">
      <c r="A53" s="21"/>
      <c r="B53" t="s">
        <v>184</v>
      </c>
      <c r="C53" s="22">
        <v>60</v>
      </c>
      <c r="D53" s="23">
        <v>30000</v>
      </c>
      <c r="E53" s="23">
        <f t="shared" si="1"/>
        <v>1800000</v>
      </c>
      <c r="F53" s="26">
        <v>44713</v>
      </c>
      <c r="G53" s="27">
        <v>3950000</v>
      </c>
    </row>
    <row r="54" spans="1:7" x14ac:dyDescent="0.25">
      <c r="A54" s="21">
        <v>44682</v>
      </c>
      <c r="B54" t="s">
        <v>182</v>
      </c>
      <c r="C54" s="22">
        <v>40</v>
      </c>
      <c r="D54" s="23">
        <v>32000</v>
      </c>
      <c r="E54" s="23">
        <f t="shared" si="1"/>
        <v>1280000</v>
      </c>
      <c r="F54" s="26">
        <v>44714</v>
      </c>
      <c r="G54" s="27">
        <v>4000000</v>
      </c>
    </row>
    <row r="55" spans="1:7" x14ac:dyDescent="0.25">
      <c r="A55" s="21"/>
      <c r="B55" t="s">
        <v>184</v>
      </c>
      <c r="C55" s="22">
        <v>84</v>
      </c>
      <c r="D55" s="23">
        <v>30000</v>
      </c>
      <c r="E55" s="23">
        <f t="shared" si="1"/>
        <v>2520000</v>
      </c>
      <c r="F55" s="26">
        <v>44715</v>
      </c>
      <c r="G55" s="27">
        <v>4750000</v>
      </c>
    </row>
    <row r="56" spans="1:7" x14ac:dyDescent="0.25">
      <c r="A56" s="21"/>
      <c r="B56" t="s">
        <v>185</v>
      </c>
      <c r="C56" s="22">
        <v>60</v>
      </c>
      <c r="D56" s="23">
        <v>30000</v>
      </c>
      <c r="E56" s="23">
        <f t="shared" si="1"/>
        <v>1800000</v>
      </c>
      <c r="F56" s="26">
        <v>44716</v>
      </c>
      <c r="G56" s="27">
        <v>560000</v>
      </c>
    </row>
    <row r="57" spans="1:7" x14ac:dyDescent="0.25">
      <c r="A57" s="21">
        <v>44686</v>
      </c>
      <c r="B57" t="s">
        <v>182</v>
      </c>
      <c r="C57" s="22">
        <v>50</v>
      </c>
      <c r="D57" s="23">
        <v>32000</v>
      </c>
      <c r="E57" s="23">
        <f t="shared" si="1"/>
        <v>1600000</v>
      </c>
      <c r="F57" s="94">
        <v>44717</v>
      </c>
      <c r="G57" s="95">
        <v>2905000</v>
      </c>
    </row>
    <row r="58" spans="1:7" x14ac:dyDescent="0.25">
      <c r="A58" s="21">
        <v>44687</v>
      </c>
      <c r="B58" t="s">
        <v>182</v>
      </c>
      <c r="C58" s="22">
        <v>42</v>
      </c>
      <c r="D58" s="23">
        <v>32000</v>
      </c>
      <c r="E58" s="23">
        <f t="shared" si="1"/>
        <v>1344000</v>
      </c>
      <c r="F58" s="26">
        <v>44719</v>
      </c>
      <c r="G58" s="27">
        <v>1250000</v>
      </c>
    </row>
    <row r="59" spans="1:7" x14ac:dyDescent="0.25">
      <c r="A59" s="21"/>
      <c r="B59" t="s">
        <v>185</v>
      </c>
      <c r="C59" s="22">
        <v>60</v>
      </c>
      <c r="D59" s="23">
        <v>30000</v>
      </c>
      <c r="E59" s="23">
        <f t="shared" si="1"/>
        <v>1800000</v>
      </c>
      <c r="F59" s="26">
        <v>44720</v>
      </c>
      <c r="G59" s="27">
        <v>1300000</v>
      </c>
    </row>
    <row r="60" spans="1:7" x14ac:dyDescent="0.25">
      <c r="A60" s="21">
        <v>44688</v>
      </c>
      <c r="B60" t="s">
        <v>181</v>
      </c>
      <c r="C60" s="22">
        <v>62</v>
      </c>
      <c r="D60" s="23">
        <v>26000</v>
      </c>
      <c r="E60" s="23">
        <f t="shared" si="1"/>
        <v>1612000</v>
      </c>
      <c r="F60" s="26">
        <v>44721</v>
      </c>
      <c r="G60" s="27">
        <v>4650000</v>
      </c>
    </row>
    <row r="61" spans="1:7" x14ac:dyDescent="0.25">
      <c r="A61" s="21"/>
      <c r="B61" t="s">
        <v>184</v>
      </c>
      <c r="C61" s="22">
        <v>100</v>
      </c>
      <c r="D61" s="23">
        <v>30000</v>
      </c>
      <c r="E61" s="23">
        <f t="shared" si="1"/>
        <v>3000000</v>
      </c>
      <c r="F61" s="26">
        <v>44722</v>
      </c>
      <c r="G61" s="27">
        <v>1500000</v>
      </c>
    </row>
    <row r="62" spans="1:7" x14ac:dyDescent="0.25">
      <c r="A62" s="21">
        <v>44689</v>
      </c>
      <c r="B62" t="s">
        <v>181</v>
      </c>
      <c r="C62" s="22">
        <v>100</v>
      </c>
      <c r="D62" s="23">
        <v>26000</v>
      </c>
      <c r="E62" s="23">
        <f t="shared" si="1"/>
        <v>2600000</v>
      </c>
      <c r="F62" s="26">
        <v>44723</v>
      </c>
      <c r="G62" s="27">
        <v>7220000</v>
      </c>
    </row>
    <row r="63" spans="1:7" x14ac:dyDescent="0.25">
      <c r="A63" s="21"/>
      <c r="B63" t="s">
        <v>185</v>
      </c>
      <c r="C63" s="22">
        <v>70</v>
      </c>
      <c r="D63" s="23">
        <v>30000</v>
      </c>
      <c r="E63" s="23">
        <f t="shared" si="1"/>
        <v>2100000</v>
      </c>
      <c r="F63" s="85">
        <v>44724</v>
      </c>
      <c r="G63" s="86">
        <v>9934000</v>
      </c>
    </row>
    <row r="64" spans="1:7" x14ac:dyDescent="0.25">
      <c r="A64" s="43">
        <v>44690</v>
      </c>
      <c r="B64" t="s">
        <v>181</v>
      </c>
      <c r="C64" s="22">
        <v>250</v>
      </c>
      <c r="D64" s="20">
        <v>26000</v>
      </c>
      <c r="E64" s="67">
        <f t="shared" si="1"/>
        <v>6500000</v>
      </c>
      <c r="F64" s="45">
        <v>44726</v>
      </c>
      <c r="G64" s="17">
        <v>3950000</v>
      </c>
    </row>
    <row r="65" spans="1:7" x14ac:dyDescent="0.25">
      <c r="A65" s="21">
        <v>44691</v>
      </c>
      <c r="B65" t="s">
        <v>181</v>
      </c>
      <c r="C65" s="22">
        <v>110</v>
      </c>
      <c r="D65" s="23">
        <v>26000</v>
      </c>
      <c r="E65" s="23">
        <f t="shared" si="1"/>
        <v>2860000</v>
      </c>
      <c r="F65" s="26">
        <v>44727</v>
      </c>
      <c r="G65" s="27">
        <v>10200000</v>
      </c>
    </row>
    <row r="66" spans="1:7" x14ac:dyDescent="0.25">
      <c r="A66" s="21">
        <v>44692</v>
      </c>
      <c r="B66" t="s">
        <v>184</v>
      </c>
      <c r="C66" s="22">
        <v>68</v>
      </c>
      <c r="D66" s="23">
        <v>30000</v>
      </c>
      <c r="E66" s="23">
        <f t="shared" si="1"/>
        <v>2040000</v>
      </c>
      <c r="F66" s="26">
        <v>44728</v>
      </c>
      <c r="G66" s="27">
        <v>6870000</v>
      </c>
    </row>
    <row r="67" spans="1:7" x14ac:dyDescent="0.25">
      <c r="A67" s="43"/>
      <c r="B67" t="s">
        <v>181</v>
      </c>
      <c r="C67" s="22">
        <v>60</v>
      </c>
      <c r="D67" s="20">
        <v>26000</v>
      </c>
      <c r="E67" s="20">
        <f t="shared" si="1"/>
        <v>1560000</v>
      </c>
      <c r="F67" s="26">
        <v>44729</v>
      </c>
      <c r="G67" s="27">
        <v>875000</v>
      </c>
    </row>
    <row r="68" spans="1:7" x14ac:dyDescent="0.25">
      <c r="A68" s="21">
        <v>44694</v>
      </c>
      <c r="B68" t="s">
        <v>181</v>
      </c>
      <c r="C68" s="22">
        <v>56</v>
      </c>
      <c r="D68" s="23">
        <v>26000</v>
      </c>
      <c r="E68" s="23">
        <f t="shared" ref="E68:E99" si="2">C68*D68</f>
        <v>1456000</v>
      </c>
      <c r="F68" s="26">
        <v>44730</v>
      </c>
      <c r="G68" s="27">
        <v>3100000</v>
      </c>
    </row>
    <row r="69" spans="1:7" x14ac:dyDescent="0.25">
      <c r="A69" s="21">
        <v>44695</v>
      </c>
      <c r="B69" t="s">
        <v>181</v>
      </c>
      <c r="C69" s="22">
        <v>70</v>
      </c>
      <c r="D69" s="23">
        <v>26000</v>
      </c>
      <c r="E69" s="23">
        <f t="shared" si="2"/>
        <v>1820000</v>
      </c>
      <c r="F69" s="85">
        <v>44731</v>
      </c>
      <c r="G69" s="86">
        <v>6613000</v>
      </c>
    </row>
    <row r="70" spans="1:7" x14ac:dyDescent="0.25">
      <c r="A70" s="21"/>
      <c r="B70" t="s">
        <v>184</v>
      </c>
      <c r="C70" s="22">
        <v>100</v>
      </c>
      <c r="D70" s="23">
        <v>30000</v>
      </c>
      <c r="E70" s="23">
        <f t="shared" si="2"/>
        <v>3000000</v>
      </c>
      <c r="F70" s="26">
        <v>44733</v>
      </c>
      <c r="G70" s="27">
        <v>7100000</v>
      </c>
    </row>
    <row r="71" spans="1:7" x14ac:dyDescent="0.25">
      <c r="A71" s="21"/>
      <c r="B71" t="s">
        <v>188</v>
      </c>
      <c r="C71" s="22">
        <v>78</v>
      </c>
      <c r="D71" s="23">
        <v>28000</v>
      </c>
      <c r="E71" s="23">
        <f t="shared" si="2"/>
        <v>2184000</v>
      </c>
      <c r="F71" s="26">
        <v>44734</v>
      </c>
      <c r="G71" s="27">
        <v>3400000</v>
      </c>
    </row>
    <row r="72" spans="1:7" x14ac:dyDescent="0.25">
      <c r="A72" s="82">
        <v>44696</v>
      </c>
      <c r="B72" s="50" t="s">
        <v>187</v>
      </c>
      <c r="C72" s="83">
        <v>50</v>
      </c>
      <c r="D72" s="84">
        <v>27000</v>
      </c>
      <c r="E72" s="84">
        <f t="shared" si="2"/>
        <v>1350000</v>
      </c>
      <c r="F72" s="45">
        <v>44735</v>
      </c>
      <c r="G72" s="25">
        <v>5280000</v>
      </c>
    </row>
    <row r="73" spans="1:7" x14ac:dyDescent="0.25">
      <c r="A73" s="21"/>
      <c r="B73" t="s">
        <v>184</v>
      </c>
      <c r="C73" s="22">
        <v>98</v>
      </c>
      <c r="D73" s="23">
        <v>30000</v>
      </c>
      <c r="E73" s="23">
        <f t="shared" si="2"/>
        <v>2940000</v>
      </c>
      <c r="F73" s="26">
        <v>44736</v>
      </c>
      <c r="G73" s="27">
        <f>1000000+8700000</f>
        <v>9700000</v>
      </c>
    </row>
    <row r="74" spans="1:7" x14ac:dyDescent="0.25">
      <c r="A74" s="43"/>
      <c r="B74" t="s">
        <v>188</v>
      </c>
      <c r="C74" s="22">
        <v>12</v>
      </c>
      <c r="D74" s="20">
        <v>28000</v>
      </c>
      <c r="E74" s="20">
        <f t="shared" si="2"/>
        <v>336000</v>
      </c>
      <c r="F74" s="26">
        <v>44737</v>
      </c>
      <c r="G74" s="27">
        <v>650000</v>
      </c>
    </row>
    <row r="75" spans="1:7" x14ac:dyDescent="0.25">
      <c r="A75" s="21">
        <v>44698</v>
      </c>
      <c r="B75" t="s">
        <v>182</v>
      </c>
      <c r="C75" s="22">
        <v>36</v>
      </c>
      <c r="D75" s="23">
        <v>32000</v>
      </c>
      <c r="E75" s="23">
        <f t="shared" si="2"/>
        <v>1152000</v>
      </c>
      <c r="F75" s="85">
        <v>44738</v>
      </c>
      <c r="G75" s="86">
        <v>9645000</v>
      </c>
    </row>
    <row r="76" spans="1:7" x14ac:dyDescent="0.25">
      <c r="A76" s="21"/>
      <c r="B76" t="s">
        <v>185</v>
      </c>
      <c r="C76" s="22">
        <v>124</v>
      </c>
      <c r="D76" s="23">
        <v>28000</v>
      </c>
      <c r="E76" s="23">
        <f t="shared" si="2"/>
        <v>3472000</v>
      </c>
      <c r="F76" s="26">
        <v>44740</v>
      </c>
      <c r="G76" s="17">
        <v>4550000</v>
      </c>
    </row>
    <row r="77" spans="1:7" x14ac:dyDescent="0.25">
      <c r="A77" s="21">
        <v>44699</v>
      </c>
      <c r="B77" t="s">
        <v>190</v>
      </c>
      <c r="C77" s="22">
        <v>81</v>
      </c>
      <c r="D77" s="23">
        <v>21000</v>
      </c>
      <c r="E77" s="23">
        <f t="shared" si="2"/>
        <v>1701000</v>
      </c>
      <c r="F77" s="26">
        <v>44741</v>
      </c>
      <c r="G77" s="17">
        <v>5500000</v>
      </c>
    </row>
    <row r="78" spans="1:7" x14ac:dyDescent="0.25">
      <c r="A78" s="21"/>
      <c r="B78" t="s">
        <v>182</v>
      </c>
      <c r="C78" s="22">
        <v>6</v>
      </c>
      <c r="D78" s="23">
        <v>32000</v>
      </c>
      <c r="E78" s="23">
        <f t="shared" si="2"/>
        <v>192000</v>
      </c>
      <c r="F78" s="26">
        <v>44742</v>
      </c>
      <c r="G78" s="17">
        <v>6000000</v>
      </c>
    </row>
    <row r="79" spans="1:7" x14ac:dyDescent="0.25">
      <c r="A79" s="43">
        <v>44700</v>
      </c>
      <c r="B79" t="s">
        <v>188</v>
      </c>
      <c r="C79" s="22">
        <v>50</v>
      </c>
      <c r="D79" s="20">
        <v>28000</v>
      </c>
      <c r="E79" s="20">
        <f t="shared" si="2"/>
        <v>1400000</v>
      </c>
      <c r="F79" s="26">
        <v>44743</v>
      </c>
      <c r="G79" s="17">
        <v>3800000</v>
      </c>
    </row>
    <row r="80" spans="1:7" x14ac:dyDescent="0.25">
      <c r="A80" s="21"/>
      <c r="B80" t="s">
        <v>182</v>
      </c>
      <c r="C80" s="22">
        <v>110</v>
      </c>
      <c r="D80" s="23">
        <v>32000</v>
      </c>
      <c r="E80" s="23">
        <f t="shared" si="2"/>
        <v>3520000</v>
      </c>
      <c r="F80" s="45">
        <v>44744</v>
      </c>
      <c r="G80" s="17">
        <v>5140000</v>
      </c>
    </row>
    <row r="81" spans="1:7" x14ac:dyDescent="0.25">
      <c r="A81" s="21">
        <v>44701</v>
      </c>
      <c r="B81" t="s">
        <v>184</v>
      </c>
      <c r="C81" s="22">
        <v>68</v>
      </c>
      <c r="D81" s="23">
        <v>30000</v>
      </c>
      <c r="E81" s="23">
        <f t="shared" si="2"/>
        <v>2040000</v>
      </c>
      <c r="F81" s="85">
        <v>44745</v>
      </c>
      <c r="G81" s="95">
        <v>3915000</v>
      </c>
    </row>
    <row r="82" spans="1:7" x14ac:dyDescent="0.25">
      <c r="A82" s="21"/>
      <c r="B82" t="s">
        <v>188</v>
      </c>
      <c r="C82" s="22">
        <v>50</v>
      </c>
      <c r="D82" s="23">
        <v>28000</v>
      </c>
      <c r="E82" s="23">
        <f t="shared" si="2"/>
        <v>1400000</v>
      </c>
      <c r="F82" s="26">
        <v>44747</v>
      </c>
      <c r="G82" s="17">
        <v>4100000</v>
      </c>
    </row>
    <row r="83" spans="1:7" x14ac:dyDescent="0.25">
      <c r="A83" s="21">
        <v>44702</v>
      </c>
      <c r="B83" t="s">
        <v>200</v>
      </c>
      <c r="C83" s="22">
        <v>72</v>
      </c>
      <c r="D83" s="23">
        <v>28000</v>
      </c>
      <c r="E83" s="23">
        <f t="shared" si="2"/>
        <v>2016000</v>
      </c>
      <c r="F83" s="45">
        <v>44748</v>
      </c>
      <c r="G83" s="17">
        <v>6100000</v>
      </c>
    </row>
    <row r="84" spans="1:7" x14ac:dyDescent="0.25">
      <c r="A84" s="21"/>
      <c r="B84" t="s">
        <v>182</v>
      </c>
      <c r="C84" s="22">
        <v>16</v>
      </c>
      <c r="D84" s="23">
        <v>32000</v>
      </c>
      <c r="E84" s="23">
        <f t="shared" si="2"/>
        <v>512000</v>
      </c>
      <c r="F84" s="45">
        <v>44749</v>
      </c>
      <c r="G84" s="17">
        <v>5000000</v>
      </c>
    </row>
    <row r="85" spans="1:7" x14ac:dyDescent="0.25">
      <c r="A85" s="21"/>
      <c r="B85" t="s">
        <v>191</v>
      </c>
      <c r="C85" s="22">
        <v>102</v>
      </c>
      <c r="D85" s="23">
        <v>27000</v>
      </c>
      <c r="E85" s="23">
        <f t="shared" si="2"/>
        <v>2754000</v>
      </c>
      <c r="F85" s="45">
        <v>44750</v>
      </c>
      <c r="G85" s="17">
        <v>3100000</v>
      </c>
    </row>
    <row r="86" spans="1:7" x14ac:dyDescent="0.25">
      <c r="A86" s="21">
        <v>44703</v>
      </c>
      <c r="B86" t="s">
        <v>184</v>
      </c>
      <c r="C86" s="22">
        <v>32</v>
      </c>
      <c r="D86" s="23">
        <v>30000</v>
      </c>
      <c r="E86" s="23">
        <f t="shared" si="2"/>
        <v>960000</v>
      </c>
      <c r="F86" s="45">
        <v>44752</v>
      </c>
      <c r="G86" s="17">
        <v>1500000</v>
      </c>
    </row>
    <row r="87" spans="1:7" x14ac:dyDescent="0.25">
      <c r="A87" s="21"/>
      <c r="B87" t="s">
        <v>192</v>
      </c>
      <c r="C87" s="22">
        <v>68</v>
      </c>
      <c r="D87" s="23">
        <v>30000</v>
      </c>
      <c r="E87" s="23">
        <f t="shared" si="2"/>
        <v>2040000</v>
      </c>
      <c r="F87" s="45">
        <v>44754</v>
      </c>
      <c r="G87" s="17">
        <v>1800000</v>
      </c>
    </row>
    <row r="88" spans="1:7" x14ac:dyDescent="0.25">
      <c r="A88" s="21">
        <v>44705</v>
      </c>
      <c r="B88" t="s">
        <v>193</v>
      </c>
      <c r="C88" s="22">
        <v>32</v>
      </c>
      <c r="D88" s="23">
        <v>30000</v>
      </c>
      <c r="E88" s="23">
        <f t="shared" si="2"/>
        <v>960000</v>
      </c>
      <c r="F88" s="45">
        <v>44755</v>
      </c>
      <c r="G88" s="17">
        <v>2200000</v>
      </c>
    </row>
    <row r="89" spans="1:7" x14ac:dyDescent="0.25">
      <c r="A89" s="21">
        <v>44709</v>
      </c>
      <c r="B89" t="s">
        <v>193</v>
      </c>
      <c r="C89" s="22">
        <v>16</v>
      </c>
      <c r="D89" s="23">
        <v>30000</v>
      </c>
      <c r="E89" s="23">
        <f t="shared" si="2"/>
        <v>480000</v>
      </c>
      <c r="F89" s="45">
        <v>44756</v>
      </c>
      <c r="G89" s="17">
        <v>3130000</v>
      </c>
    </row>
    <row r="90" spans="1:7" x14ac:dyDescent="0.25">
      <c r="A90" s="43">
        <v>44710</v>
      </c>
      <c r="B90" t="s">
        <v>182</v>
      </c>
      <c r="C90" s="22">
        <v>98</v>
      </c>
      <c r="D90" s="20">
        <v>32000</v>
      </c>
      <c r="E90" s="20">
        <f t="shared" si="2"/>
        <v>3136000</v>
      </c>
      <c r="F90" s="45">
        <v>44757</v>
      </c>
      <c r="G90" s="17">
        <v>1200000</v>
      </c>
    </row>
    <row r="91" spans="1:7" x14ac:dyDescent="0.25">
      <c r="A91" s="21"/>
      <c r="B91" t="s">
        <v>193</v>
      </c>
      <c r="C91" s="22">
        <v>18</v>
      </c>
      <c r="D91" s="23">
        <v>30000</v>
      </c>
      <c r="E91" s="23">
        <f t="shared" si="2"/>
        <v>540000</v>
      </c>
      <c r="F91" s="45">
        <v>44758</v>
      </c>
      <c r="G91" s="17">
        <v>1075000</v>
      </c>
    </row>
    <row r="92" spans="1:7" x14ac:dyDescent="0.25">
      <c r="A92" s="21"/>
      <c r="B92" t="s">
        <v>194</v>
      </c>
      <c r="C92" s="22">
        <v>90</v>
      </c>
      <c r="D92" s="23">
        <v>30000</v>
      </c>
      <c r="E92" s="23">
        <f t="shared" si="2"/>
        <v>2700000</v>
      </c>
      <c r="F92" s="94">
        <v>44759</v>
      </c>
      <c r="G92" s="95">
        <v>2484000</v>
      </c>
    </row>
    <row r="93" spans="1:7" x14ac:dyDescent="0.25">
      <c r="A93" s="21" t="s">
        <v>195</v>
      </c>
      <c r="B93" t="s">
        <v>196</v>
      </c>
      <c r="C93" s="22">
        <v>40</v>
      </c>
      <c r="D93" s="23">
        <v>25000</v>
      </c>
      <c r="E93" s="23">
        <f t="shared" si="2"/>
        <v>1000000</v>
      </c>
      <c r="F93" s="45"/>
      <c r="G93" s="17"/>
    </row>
    <row r="94" spans="1:7" x14ac:dyDescent="0.25">
      <c r="A94" s="21">
        <v>44713</v>
      </c>
      <c r="B94" t="s">
        <v>196</v>
      </c>
      <c r="C94" s="22">
        <v>76</v>
      </c>
      <c r="D94" s="23">
        <v>25000</v>
      </c>
      <c r="E94" s="23">
        <f t="shared" si="2"/>
        <v>1900000</v>
      </c>
      <c r="F94" s="45"/>
      <c r="G94" s="17"/>
    </row>
    <row r="95" spans="1:7" x14ac:dyDescent="0.25">
      <c r="A95" s="21">
        <v>44714</v>
      </c>
      <c r="B95" t="s">
        <v>182</v>
      </c>
      <c r="C95" s="22">
        <v>62</v>
      </c>
      <c r="D95" s="23">
        <v>32000</v>
      </c>
      <c r="E95" s="23">
        <f t="shared" si="2"/>
        <v>1984000</v>
      </c>
      <c r="G95" s="17"/>
    </row>
    <row r="96" spans="1:7" x14ac:dyDescent="0.25">
      <c r="A96" s="21"/>
      <c r="B96" t="s">
        <v>196</v>
      </c>
      <c r="C96" s="22">
        <v>6</v>
      </c>
      <c r="D96" s="23">
        <v>25000</v>
      </c>
      <c r="E96" s="23">
        <f t="shared" si="2"/>
        <v>150000</v>
      </c>
      <c r="G96" s="17"/>
    </row>
    <row r="97" spans="1:7" x14ac:dyDescent="0.25">
      <c r="A97" s="21">
        <v>44715</v>
      </c>
      <c r="B97" t="s">
        <v>181</v>
      </c>
      <c r="C97" s="22">
        <v>186</v>
      </c>
      <c r="D97" s="23">
        <v>26000</v>
      </c>
      <c r="E97" s="23">
        <f t="shared" si="2"/>
        <v>4836000</v>
      </c>
      <c r="G97" s="17"/>
    </row>
    <row r="98" spans="1:7" x14ac:dyDescent="0.25">
      <c r="A98" s="21"/>
      <c r="B98" t="s">
        <v>182</v>
      </c>
      <c r="C98" s="22">
        <v>44</v>
      </c>
      <c r="D98" s="23">
        <v>32000</v>
      </c>
      <c r="E98" s="23">
        <f t="shared" si="2"/>
        <v>1408000</v>
      </c>
      <c r="G98" s="17"/>
    </row>
    <row r="99" spans="1:7" x14ac:dyDescent="0.25">
      <c r="A99" s="21"/>
      <c r="B99" t="s">
        <v>200</v>
      </c>
      <c r="C99" s="22">
        <v>6</v>
      </c>
      <c r="D99" s="23">
        <v>28000</v>
      </c>
      <c r="E99" s="23">
        <f t="shared" si="2"/>
        <v>168000</v>
      </c>
      <c r="G99" s="17"/>
    </row>
    <row r="100" spans="1:7" x14ac:dyDescent="0.25">
      <c r="A100" s="21"/>
      <c r="B100" t="s">
        <v>183</v>
      </c>
      <c r="C100" s="22">
        <v>10</v>
      </c>
      <c r="D100" s="23">
        <v>30000</v>
      </c>
      <c r="E100" s="23">
        <f t="shared" ref="E100:E131" si="3">C100*D100</f>
        <v>300000</v>
      </c>
      <c r="G100" s="17"/>
    </row>
    <row r="101" spans="1:7" x14ac:dyDescent="0.25">
      <c r="A101" s="21">
        <v>44716</v>
      </c>
      <c r="B101" t="s">
        <v>182</v>
      </c>
      <c r="C101" s="22">
        <v>6</v>
      </c>
      <c r="D101" s="23">
        <v>32000</v>
      </c>
      <c r="E101" s="23">
        <f t="shared" si="3"/>
        <v>192000</v>
      </c>
      <c r="G101" s="17"/>
    </row>
    <row r="102" spans="1:7" x14ac:dyDescent="0.25">
      <c r="A102" s="21">
        <v>44719</v>
      </c>
      <c r="B102" t="s">
        <v>199</v>
      </c>
      <c r="C102" s="22">
        <v>84</v>
      </c>
      <c r="D102" s="23">
        <v>32000</v>
      </c>
      <c r="E102" s="23">
        <f t="shared" si="3"/>
        <v>2688000</v>
      </c>
      <c r="G102" s="17"/>
    </row>
    <row r="103" spans="1:7" x14ac:dyDescent="0.25">
      <c r="A103" s="43"/>
      <c r="B103" t="s">
        <v>182</v>
      </c>
      <c r="C103" s="22">
        <v>60</v>
      </c>
      <c r="D103" s="20">
        <v>32000</v>
      </c>
      <c r="E103" s="20">
        <f t="shared" si="3"/>
        <v>1920000</v>
      </c>
      <c r="G103" s="17"/>
    </row>
    <row r="104" spans="1:7" x14ac:dyDescent="0.25">
      <c r="A104" s="21"/>
      <c r="B104" t="s">
        <v>191</v>
      </c>
      <c r="C104" s="22">
        <v>100</v>
      </c>
      <c r="D104" s="23">
        <v>27000</v>
      </c>
      <c r="E104" s="23">
        <f t="shared" si="3"/>
        <v>2700000</v>
      </c>
      <c r="G104" s="17"/>
    </row>
    <row r="105" spans="1:7" x14ac:dyDescent="0.25">
      <c r="A105" s="21">
        <v>44721</v>
      </c>
      <c r="B105" t="s">
        <v>197</v>
      </c>
      <c r="C105" s="22">
        <v>58</v>
      </c>
      <c r="D105" s="23">
        <v>33000</v>
      </c>
      <c r="E105" s="23">
        <f t="shared" si="3"/>
        <v>1914000</v>
      </c>
      <c r="G105" s="17"/>
    </row>
    <row r="106" spans="1:7" x14ac:dyDescent="0.25">
      <c r="A106" s="21"/>
      <c r="B106" t="s">
        <v>182</v>
      </c>
      <c r="C106" s="22">
        <v>54</v>
      </c>
      <c r="D106" s="23">
        <v>32000</v>
      </c>
      <c r="E106" s="23">
        <f t="shared" si="3"/>
        <v>1728000</v>
      </c>
      <c r="G106" s="17"/>
    </row>
    <row r="107" spans="1:7" x14ac:dyDescent="0.25">
      <c r="A107" s="21">
        <v>44722</v>
      </c>
      <c r="B107" t="s">
        <v>198</v>
      </c>
      <c r="C107" s="22">
        <v>60</v>
      </c>
      <c r="D107" s="23">
        <v>31500</v>
      </c>
      <c r="E107" s="23">
        <f t="shared" si="3"/>
        <v>1890000</v>
      </c>
      <c r="G107" s="17"/>
    </row>
    <row r="108" spans="1:7" x14ac:dyDescent="0.25">
      <c r="A108" s="21">
        <v>44723</v>
      </c>
      <c r="B108" t="s">
        <v>197</v>
      </c>
      <c r="C108" s="22">
        <v>60</v>
      </c>
      <c r="D108" s="23">
        <v>33000</v>
      </c>
      <c r="E108" s="23">
        <f t="shared" si="3"/>
        <v>1980000</v>
      </c>
      <c r="G108" s="17"/>
    </row>
    <row r="109" spans="1:7" x14ac:dyDescent="0.25">
      <c r="A109" s="21"/>
      <c r="B109" t="s">
        <v>199</v>
      </c>
      <c r="C109" s="22">
        <v>74</v>
      </c>
      <c r="D109" s="23">
        <v>32000</v>
      </c>
      <c r="E109" s="23">
        <f t="shared" si="3"/>
        <v>2368000</v>
      </c>
      <c r="G109" s="17"/>
    </row>
    <row r="110" spans="1:7" x14ac:dyDescent="0.25">
      <c r="A110" s="21">
        <v>44724</v>
      </c>
      <c r="B110" t="s">
        <v>184</v>
      </c>
      <c r="C110" s="22">
        <v>130</v>
      </c>
      <c r="D110" s="23">
        <v>30000</v>
      </c>
      <c r="E110" s="23">
        <f t="shared" si="3"/>
        <v>3900000</v>
      </c>
      <c r="G110" s="17"/>
    </row>
    <row r="111" spans="1:7" x14ac:dyDescent="0.25">
      <c r="A111" s="21"/>
      <c r="B111" t="s">
        <v>197</v>
      </c>
      <c r="C111" s="22">
        <v>74</v>
      </c>
      <c r="D111" s="23">
        <v>33000</v>
      </c>
      <c r="E111" s="23">
        <f t="shared" si="3"/>
        <v>2442000</v>
      </c>
      <c r="G111" s="17"/>
    </row>
    <row r="112" spans="1:7" x14ac:dyDescent="0.25">
      <c r="A112" s="21"/>
      <c r="B112" t="s">
        <v>199</v>
      </c>
      <c r="C112" s="22">
        <v>26</v>
      </c>
      <c r="D112" s="23">
        <v>32000</v>
      </c>
      <c r="E112" s="23">
        <f t="shared" si="3"/>
        <v>832000</v>
      </c>
      <c r="G112" s="17"/>
    </row>
    <row r="113" spans="1:7" x14ac:dyDescent="0.25">
      <c r="A113" s="21"/>
      <c r="B113" t="s">
        <v>181</v>
      </c>
      <c r="C113" s="22">
        <v>170</v>
      </c>
      <c r="D113" s="23">
        <v>26000</v>
      </c>
      <c r="E113" s="23">
        <f t="shared" si="3"/>
        <v>4420000</v>
      </c>
      <c r="G113" s="17"/>
    </row>
    <row r="114" spans="1:7" x14ac:dyDescent="0.25">
      <c r="A114" s="21"/>
      <c r="B114" t="s">
        <v>200</v>
      </c>
      <c r="C114" s="22">
        <v>130</v>
      </c>
      <c r="D114" s="23">
        <v>28000</v>
      </c>
      <c r="E114" s="23">
        <f t="shared" si="3"/>
        <v>3640000</v>
      </c>
      <c r="G114" s="17"/>
    </row>
    <row r="115" spans="1:7" x14ac:dyDescent="0.25">
      <c r="A115" s="21">
        <v>44726</v>
      </c>
      <c r="B115" t="s">
        <v>197</v>
      </c>
      <c r="C115" s="22">
        <v>56</v>
      </c>
      <c r="D115" s="23">
        <v>33000</v>
      </c>
      <c r="E115" s="23">
        <f t="shared" si="3"/>
        <v>1848000</v>
      </c>
      <c r="G115" s="17"/>
    </row>
    <row r="116" spans="1:7" x14ac:dyDescent="0.25">
      <c r="A116" s="21">
        <v>44727</v>
      </c>
      <c r="B116" t="s">
        <v>197</v>
      </c>
      <c r="C116" s="22">
        <v>178</v>
      </c>
      <c r="D116" s="23">
        <v>33000</v>
      </c>
      <c r="E116" s="23">
        <f t="shared" si="3"/>
        <v>5874000</v>
      </c>
      <c r="G116" s="17"/>
    </row>
    <row r="117" spans="1:7" x14ac:dyDescent="0.25">
      <c r="A117" s="43">
        <v>44728</v>
      </c>
      <c r="B117" t="s">
        <v>196</v>
      </c>
      <c r="C117" s="22">
        <v>64</v>
      </c>
      <c r="D117" s="20">
        <v>25000</v>
      </c>
      <c r="E117" s="20">
        <f t="shared" si="3"/>
        <v>1600000</v>
      </c>
      <c r="G117" s="17"/>
    </row>
    <row r="118" spans="1:7" x14ac:dyDescent="0.25">
      <c r="A118" s="43">
        <v>44729</v>
      </c>
      <c r="B118" t="s">
        <v>196</v>
      </c>
      <c r="C118" s="22">
        <v>32</v>
      </c>
      <c r="D118" s="20">
        <v>25000</v>
      </c>
      <c r="E118" s="23">
        <f t="shared" si="3"/>
        <v>800000</v>
      </c>
      <c r="G118" s="17"/>
    </row>
    <row r="119" spans="1:7" x14ac:dyDescent="0.25">
      <c r="A119" s="43">
        <v>44730</v>
      </c>
      <c r="B119" t="s">
        <v>181</v>
      </c>
      <c r="C119" s="22">
        <v>80</v>
      </c>
      <c r="D119" s="20">
        <v>26000</v>
      </c>
      <c r="E119" s="23">
        <f t="shared" si="3"/>
        <v>2080000</v>
      </c>
      <c r="G119" s="17"/>
    </row>
    <row r="120" spans="1:7" x14ac:dyDescent="0.25">
      <c r="A120" s="43"/>
      <c r="B120" t="s">
        <v>199</v>
      </c>
      <c r="C120" s="22">
        <v>120</v>
      </c>
      <c r="D120" s="20">
        <v>32000</v>
      </c>
      <c r="E120" s="23">
        <f t="shared" si="3"/>
        <v>3840000</v>
      </c>
      <c r="G120" s="17"/>
    </row>
    <row r="121" spans="1:7" x14ac:dyDescent="0.25">
      <c r="A121" s="43"/>
      <c r="B121" t="s">
        <v>197</v>
      </c>
      <c r="C121" s="22">
        <v>130</v>
      </c>
      <c r="D121" s="20">
        <v>33000</v>
      </c>
      <c r="E121" s="23">
        <f t="shared" si="3"/>
        <v>4290000</v>
      </c>
      <c r="G121" s="17"/>
    </row>
    <row r="122" spans="1:7" x14ac:dyDescent="0.25">
      <c r="A122" s="43">
        <v>44731</v>
      </c>
      <c r="B122" t="s">
        <v>196</v>
      </c>
      <c r="C122" s="22">
        <v>48</v>
      </c>
      <c r="D122" s="20">
        <v>25000</v>
      </c>
      <c r="E122" s="23">
        <f t="shared" si="3"/>
        <v>1200000</v>
      </c>
      <c r="G122" s="17"/>
    </row>
    <row r="123" spans="1:7" x14ac:dyDescent="0.25">
      <c r="A123" s="43"/>
      <c r="B123" t="s">
        <v>201</v>
      </c>
      <c r="C123" s="22">
        <v>68</v>
      </c>
      <c r="D123" s="20">
        <v>31000</v>
      </c>
      <c r="E123" s="23">
        <f t="shared" si="3"/>
        <v>2108000</v>
      </c>
      <c r="G123" s="17"/>
    </row>
    <row r="124" spans="1:7" x14ac:dyDescent="0.25">
      <c r="A124" s="43"/>
      <c r="B124" t="s">
        <v>197</v>
      </c>
      <c r="C124" s="22">
        <v>68</v>
      </c>
      <c r="D124" s="20">
        <v>33000</v>
      </c>
      <c r="E124" s="67">
        <f t="shared" si="3"/>
        <v>2244000</v>
      </c>
      <c r="G124" s="17"/>
    </row>
    <row r="125" spans="1:7" x14ac:dyDescent="0.25">
      <c r="A125" s="43">
        <v>44733</v>
      </c>
      <c r="B125" t="s">
        <v>197</v>
      </c>
      <c r="C125" s="22">
        <v>200</v>
      </c>
      <c r="D125" s="20">
        <v>33000</v>
      </c>
      <c r="E125" s="67">
        <f t="shared" si="3"/>
        <v>6600000</v>
      </c>
      <c r="G125" s="17"/>
    </row>
    <row r="126" spans="1:7" x14ac:dyDescent="0.25">
      <c r="A126" s="43"/>
      <c r="B126" t="s">
        <v>197</v>
      </c>
      <c r="C126" s="22">
        <v>60</v>
      </c>
      <c r="D126" s="20">
        <v>33000</v>
      </c>
      <c r="E126" s="23">
        <f t="shared" si="3"/>
        <v>1980000</v>
      </c>
      <c r="G126" s="17"/>
    </row>
    <row r="127" spans="1:7" x14ac:dyDescent="0.25">
      <c r="A127" s="43"/>
      <c r="B127" t="s">
        <v>196</v>
      </c>
      <c r="C127" s="22">
        <v>76</v>
      </c>
      <c r="D127" s="20">
        <v>25000</v>
      </c>
      <c r="E127" s="67">
        <f t="shared" si="3"/>
        <v>1900000</v>
      </c>
      <c r="G127" s="17"/>
    </row>
    <row r="128" spans="1:7" x14ac:dyDescent="0.25">
      <c r="A128" s="43"/>
      <c r="B128" t="s">
        <v>201</v>
      </c>
      <c r="C128" s="22">
        <v>32</v>
      </c>
      <c r="D128" s="20">
        <v>31000</v>
      </c>
      <c r="E128" s="67">
        <f t="shared" si="3"/>
        <v>992000</v>
      </c>
      <c r="G128" s="17"/>
    </row>
    <row r="129" spans="1:7" x14ac:dyDescent="0.25">
      <c r="A129" s="43"/>
      <c r="B129" t="s">
        <v>197</v>
      </c>
      <c r="C129" s="22">
        <v>100</v>
      </c>
      <c r="D129" s="20">
        <v>33000</v>
      </c>
      <c r="E129" s="67">
        <f t="shared" si="3"/>
        <v>3300000</v>
      </c>
      <c r="G129" s="17"/>
    </row>
    <row r="130" spans="1:7" x14ac:dyDescent="0.25">
      <c r="A130" s="43"/>
      <c r="B130" t="s">
        <v>196</v>
      </c>
      <c r="C130" s="22">
        <v>38</v>
      </c>
      <c r="D130" s="20">
        <v>25000</v>
      </c>
      <c r="E130" s="67">
        <f t="shared" si="3"/>
        <v>950000</v>
      </c>
      <c r="G130" s="17"/>
    </row>
    <row r="131" spans="1:7" x14ac:dyDescent="0.25">
      <c r="A131" s="43"/>
      <c r="B131" t="s">
        <v>200</v>
      </c>
      <c r="C131" s="22">
        <v>156</v>
      </c>
      <c r="D131" s="20">
        <v>28000</v>
      </c>
      <c r="E131" s="67">
        <f t="shared" si="3"/>
        <v>4368000</v>
      </c>
      <c r="G131" s="17"/>
    </row>
    <row r="132" spans="1:7" x14ac:dyDescent="0.25">
      <c r="B132" t="s">
        <v>184</v>
      </c>
      <c r="C132" s="22">
        <v>150</v>
      </c>
      <c r="D132" s="20">
        <v>30000</v>
      </c>
      <c r="E132" s="67">
        <f t="shared" ref="E132:E163" si="4">C132*D132</f>
        <v>4500000</v>
      </c>
    </row>
    <row r="133" spans="1:7" x14ac:dyDescent="0.25">
      <c r="B133" t="s">
        <v>197</v>
      </c>
      <c r="C133" s="22">
        <v>286</v>
      </c>
      <c r="D133" s="20">
        <v>33000</v>
      </c>
      <c r="E133" s="67">
        <f t="shared" si="4"/>
        <v>9438000</v>
      </c>
    </row>
    <row r="134" spans="1:7" x14ac:dyDescent="0.25">
      <c r="A134" s="43">
        <v>44740</v>
      </c>
      <c r="B134" t="s">
        <v>197</v>
      </c>
      <c r="C134" s="22">
        <v>136</v>
      </c>
      <c r="D134" s="20">
        <v>33000</v>
      </c>
      <c r="E134" s="67">
        <f t="shared" si="4"/>
        <v>4488000</v>
      </c>
    </row>
    <row r="135" spans="1:7" x14ac:dyDescent="0.25">
      <c r="B135" t="s">
        <v>197</v>
      </c>
      <c r="C135" s="22">
        <v>102</v>
      </c>
      <c r="D135" s="20">
        <v>33000</v>
      </c>
      <c r="E135" s="67">
        <f t="shared" si="4"/>
        <v>3366000</v>
      </c>
    </row>
    <row r="136" spans="1:7" x14ac:dyDescent="0.25">
      <c r="B136" t="s">
        <v>199</v>
      </c>
      <c r="C136" s="22">
        <v>100</v>
      </c>
      <c r="D136" s="20">
        <v>32000</v>
      </c>
      <c r="E136" s="67">
        <f t="shared" si="4"/>
        <v>3200000</v>
      </c>
    </row>
    <row r="137" spans="1:7" x14ac:dyDescent="0.25">
      <c r="B137" t="s">
        <v>197</v>
      </c>
      <c r="C137" s="22">
        <v>128</v>
      </c>
      <c r="D137" s="20">
        <v>33000</v>
      </c>
      <c r="E137" s="67">
        <f t="shared" si="4"/>
        <v>4224000</v>
      </c>
    </row>
    <row r="138" spans="1:7" x14ac:dyDescent="0.25">
      <c r="B138" t="s">
        <v>197</v>
      </c>
      <c r="C138" s="22">
        <v>148</v>
      </c>
      <c r="D138" s="20">
        <v>33000</v>
      </c>
      <c r="E138" s="67">
        <f t="shared" si="4"/>
        <v>4884000</v>
      </c>
    </row>
    <row r="139" spans="1:7" x14ac:dyDescent="0.25">
      <c r="B139" t="s">
        <v>197</v>
      </c>
      <c r="C139" s="22">
        <v>192</v>
      </c>
      <c r="D139" s="20">
        <v>33000</v>
      </c>
      <c r="E139" s="67">
        <f t="shared" si="4"/>
        <v>6336000</v>
      </c>
    </row>
    <row r="140" spans="1:7" x14ac:dyDescent="0.25">
      <c r="B140" t="s">
        <v>199</v>
      </c>
      <c r="C140" s="22">
        <v>88</v>
      </c>
      <c r="D140" s="20">
        <v>32000</v>
      </c>
      <c r="E140" s="67">
        <f t="shared" si="4"/>
        <v>2816000</v>
      </c>
    </row>
    <row r="141" spans="1:7" x14ac:dyDescent="0.25">
      <c r="B141" t="s">
        <v>197</v>
      </c>
      <c r="C141" s="22">
        <v>170</v>
      </c>
      <c r="D141" s="20">
        <v>33000</v>
      </c>
      <c r="E141" s="67">
        <f t="shared" si="4"/>
        <v>5610000</v>
      </c>
    </row>
    <row r="142" spans="1:7" x14ac:dyDescent="0.25">
      <c r="A142" s="43">
        <v>44748</v>
      </c>
      <c r="B142" t="s">
        <v>197</v>
      </c>
      <c r="C142" s="22">
        <v>102</v>
      </c>
      <c r="D142" s="20">
        <v>33000</v>
      </c>
      <c r="E142" s="67">
        <f t="shared" si="4"/>
        <v>3366000</v>
      </c>
    </row>
    <row r="143" spans="1:7" x14ac:dyDescent="0.25">
      <c r="A143" s="43">
        <v>44749</v>
      </c>
      <c r="B143" t="s">
        <v>197</v>
      </c>
      <c r="C143" s="22">
        <v>208</v>
      </c>
      <c r="D143" s="20">
        <v>33000</v>
      </c>
      <c r="E143" s="67">
        <f t="shared" si="4"/>
        <v>6864000</v>
      </c>
    </row>
    <row r="144" spans="1:7" x14ac:dyDescent="0.25">
      <c r="A144" s="43">
        <v>44750</v>
      </c>
      <c r="B144" t="s">
        <v>197</v>
      </c>
      <c r="C144" s="22">
        <v>124</v>
      </c>
      <c r="D144" s="20">
        <v>33000</v>
      </c>
      <c r="E144" s="67">
        <f t="shared" si="4"/>
        <v>4092000</v>
      </c>
    </row>
    <row r="145" spans="1:5" x14ac:dyDescent="0.25">
      <c r="B145" t="s">
        <v>181</v>
      </c>
      <c r="C145" s="22">
        <v>42</v>
      </c>
      <c r="D145" s="20">
        <v>26000</v>
      </c>
      <c r="E145" s="67">
        <f t="shared" si="4"/>
        <v>1092000</v>
      </c>
    </row>
    <row r="146" spans="1:5" x14ac:dyDescent="0.25">
      <c r="A146" s="43">
        <v>44754</v>
      </c>
      <c r="B146" t="s">
        <v>197</v>
      </c>
      <c r="C146" s="22">
        <v>64</v>
      </c>
      <c r="D146" s="20">
        <v>33000</v>
      </c>
      <c r="E146" s="67">
        <f t="shared" si="4"/>
        <v>2112000</v>
      </c>
    </row>
    <row r="147" spans="1:5" x14ac:dyDescent="0.25">
      <c r="A147" s="43">
        <v>44755</v>
      </c>
      <c r="B147" t="s">
        <v>197</v>
      </c>
      <c r="C147" s="22">
        <v>68</v>
      </c>
      <c r="D147" s="20">
        <v>33000</v>
      </c>
      <c r="E147" s="67">
        <f t="shared" si="4"/>
        <v>2244000</v>
      </c>
    </row>
    <row r="148" spans="1:5" x14ac:dyDescent="0.25">
      <c r="A148" s="43">
        <v>44756</v>
      </c>
      <c r="B148" t="s">
        <v>197</v>
      </c>
      <c r="C148" s="22">
        <v>20</v>
      </c>
      <c r="D148" s="20">
        <v>33000</v>
      </c>
      <c r="E148" s="67">
        <f t="shared" si="4"/>
        <v>660000</v>
      </c>
    </row>
    <row r="149" spans="1:5" x14ac:dyDescent="0.25">
      <c r="A149" s="43">
        <v>44757</v>
      </c>
      <c r="B149" t="s">
        <v>197</v>
      </c>
      <c r="C149" s="22">
        <v>146</v>
      </c>
      <c r="D149" s="20">
        <v>33000</v>
      </c>
      <c r="E149" s="67">
        <f t="shared" si="4"/>
        <v>4818000</v>
      </c>
    </row>
    <row r="150" spans="1:5" x14ac:dyDescent="0.25">
      <c r="A150" s="43">
        <v>44758</v>
      </c>
      <c r="B150" t="s">
        <v>202</v>
      </c>
      <c r="C150" s="22">
        <v>48</v>
      </c>
      <c r="D150" s="20">
        <v>38000</v>
      </c>
      <c r="E150" s="67">
        <f t="shared" si="4"/>
        <v>1824000</v>
      </c>
    </row>
    <row r="151" spans="1:5" x14ac:dyDescent="0.25">
      <c r="B151" t="s">
        <v>203</v>
      </c>
      <c r="C151" s="22">
        <v>14</v>
      </c>
      <c r="D151" s="20">
        <v>35000</v>
      </c>
      <c r="E151" s="67">
        <f t="shared" si="4"/>
        <v>490000</v>
      </c>
    </row>
    <row r="152" spans="1:5" x14ac:dyDescent="0.25">
      <c r="B152" t="s">
        <v>204</v>
      </c>
      <c r="C152" s="22">
        <v>21</v>
      </c>
      <c r="D152" s="20">
        <v>39000</v>
      </c>
      <c r="E152" s="67">
        <f t="shared" si="4"/>
        <v>819000</v>
      </c>
    </row>
    <row r="153" spans="1:5" x14ac:dyDescent="0.25">
      <c r="B153" t="s">
        <v>205</v>
      </c>
      <c r="C153" s="22">
        <v>24</v>
      </c>
      <c r="D153" s="20">
        <v>42000</v>
      </c>
      <c r="E153" s="67">
        <f t="shared" si="4"/>
        <v>1008000</v>
      </c>
    </row>
    <row r="154" spans="1:5" x14ac:dyDescent="0.25">
      <c r="B154" t="s">
        <v>206</v>
      </c>
      <c r="C154" s="22">
        <v>25</v>
      </c>
      <c r="D154" s="20">
        <v>38000</v>
      </c>
      <c r="E154" s="67">
        <f t="shared" si="4"/>
        <v>950000</v>
      </c>
    </row>
    <row r="155" spans="1:5" x14ac:dyDescent="0.25">
      <c r="B155" t="s">
        <v>207</v>
      </c>
      <c r="C155" s="22">
        <v>24</v>
      </c>
      <c r="D155" s="20">
        <v>35000</v>
      </c>
      <c r="E155" s="67">
        <f t="shared" si="4"/>
        <v>840000</v>
      </c>
    </row>
    <row r="156" spans="1:5" x14ac:dyDescent="0.25">
      <c r="B156" t="s">
        <v>208</v>
      </c>
      <c r="C156" s="22">
        <v>20</v>
      </c>
      <c r="D156" s="20">
        <v>45000</v>
      </c>
      <c r="E156" s="67">
        <f t="shared" si="4"/>
        <v>900000</v>
      </c>
    </row>
    <row r="157" spans="1:5" x14ac:dyDescent="0.25">
      <c r="E157" s="67"/>
    </row>
    <row r="158" spans="1:5" x14ac:dyDescent="0.25">
      <c r="E158" s="67"/>
    </row>
    <row r="159" spans="1:5" x14ac:dyDescent="0.25">
      <c r="E159" s="67"/>
    </row>
    <row r="160" spans="1:5" x14ac:dyDescent="0.25">
      <c r="E160" s="67"/>
    </row>
    <row r="161" spans="5:5" x14ac:dyDescent="0.25">
      <c r="E161" s="67"/>
    </row>
    <row r="162" spans="5:5" x14ac:dyDescent="0.25">
      <c r="E162" s="67"/>
    </row>
    <row r="163" spans="5:5" x14ac:dyDescent="0.25">
      <c r="E163" s="67"/>
    </row>
    <row r="164" spans="5:5" x14ac:dyDescent="0.25">
      <c r="E164" s="67"/>
    </row>
    <row r="165" spans="5:5" x14ac:dyDescent="0.25">
      <c r="E165" s="67"/>
    </row>
    <row r="166" spans="5:5" x14ac:dyDescent="0.25">
      <c r="E166" s="67"/>
    </row>
    <row r="167" spans="5:5" x14ac:dyDescent="0.25">
      <c r="E167" s="67"/>
    </row>
    <row r="168" spans="5:5" x14ac:dyDescent="0.25">
      <c r="E168" s="67"/>
    </row>
    <row r="169" spans="5:5" x14ac:dyDescent="0.25">
      <c r="E169" s="67"/>
    </row>
    <row r="170" spans="5:5" x14ac:dyDescent="0.25">
      <c r="E170" s="67"/>
    </row>
    <row r="171" spans="5:5" x14ac:dyDescent="0.25">
      <c r="E171" s="67"/>
    </row>
    <row r="172" spans="5:5" x14ac:dyDescent="0.25">
      <c r="E172" s="67"/>
    </row>
    <row r="173" spans="5:5" x14ac:dyDescent="0.25">
      <c r="E173" s="67"/>
    </row>
    <row r="174" spans="5:5" x14ac:dyDescent="0.25">
      <c r="E174" s="67"/>
    </row>
    <row r="175" spans="5:5" x14ac:dyDescent="0.25">
      <c r="E175" s="67"/>
    </row>
    <row r="176" spans="5:5" x14ac:dyDescent="0.25">
      <c r="E176" s="67"/>
    </row>
    <row r="177" spans="5:5" x14ac:dyDescent="0.25">
      <c r="E177" s="67"/>
    </row>
    <row r="178" spans="5:5" x14ac:dyDescent="0.25">
      <c r="E178" s="67"/>
    </row>
    <row r="179" spans="5:5" x14ac:dyDescent="0.25">
      <c r="E179" s="67"/>
    </row>
    <row r="199" spans="5:7" x14ac:dyDescent="0.25">
      <c r="E199" s="23">
        <f>SUM(E3:E198)</f>
        <v>373168500</v>
      </c>
      <c r="G199" s="27">
        <f>SUM(G3:G198)</f>
        <v>358797500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39E5-0289-EA49-A080-CE59DD2AC7FB}">
  <dimension ref="A1:K200"/>
  <sheetViews>
    <sheetView zoomScaleNormal="100" zoomScaleSheetLayoutView="100" workbookViewId="0">
      <selection sqref="A1:XFD1048576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v>34082000</v>
      </c>
      <c r="F3" s="26">
        <v>44873</v>
      </c>
      <c r="G3" s="27">
        <f>110000+3400000</f>
        <v>3510000</v>
      </c>
      <c r="I3" s="110">
        <f>E199-G199</f>
        <v>20857000</v>
      </c>
      <c r="J3" s="111"/>
    </row>
    <row r="4" spans="1:11" x14ac:dyDescent="0.25">
      <c r="A4" s="21">
        <v>44873</v>
      </c>
      <c r="B4" t="s">
        <v>221</v>
      </c>
      <c r="C4" s="22">
        <v>40</v>
      </c>
      <c r="D4" s="23">
        <v>55000</v>
      </c>
      <c r="E4" s="23">
        <f t="shared" ref="E4:E35" si="0">C4*D4</f>
        <v>2200000</v>
      </c>
      <c r="F4" s="26">
        <v>44874</v>
      </c>
      <c r="G4" s="27">
        <v>21900000</v>
      </c>
      <c r="I4" s="89" t="s">
        <v>132</v>
      </c>
      <c r="J4" s="90">
        <v>11000</v>
      </c>
    </row>
    <row r="5" spans="1:11" ht="15.75" thickBot="1" x14ac:dyDescent="0.3">
      <c r="A5" s="21">
        <v>44874</v>
      </c>
      <c r="B5" t="s">
        <v>222</v>
      </c>
      <c r="C5" s="22">
        <v>32</v>
      </c>
      <c r="D5" s="23">
        <v>55000</v>
      </c>
      <c r="E5" s="67">
        <f t="shared" si="0"/>
        <v>1760000</v>
      </c>
      <c r="F5" s="26">
        <v>44875</v>
      </c>
      <c r="G5" s="27">
        <v>1050000</v>
      </c>
      <c r="I5" s="112">
        <f>I3/J4</f>
        <v>1896.090909090909</v>
      </c>
      <c r="J5" s="113"/>
    </row>
    <row r="6" spans="1:11" ht="15.75" thickBot="1" x14ac:dyDescent="0.3">
      <c r="A6" s="21">
        <v>44875</v>
      </c>
      <c r="B6" t="s">
        <v>222</v>
      </c>
      <c r="C6" s="22">
        <v>28</v>
      </c>
      <c r="D6" s="23">
        <v>55000</v>
      </c>
      <c r="E6" s="23">
        <f t="shared" si="0"/>
        <v>1540000</v>
      </c>
      <c r="F6" s="26">
        <v>44876</v>
      </c>
      <c r="G6" s="27">
        <v>350000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44875</v>
      </c>
      <c r="B7" t="s">
        <v>221</v>
      </c>
      <c r="C7" s="22">
        <v>7</v>
      </c>
      <c r="D7" s="23">
        <v>55000</v>
      </c>
      <c r="E7" s="23">
        <f t="shared" si="0"/>
        <v>385000</v>
      </c>
      <c r="F7" s="26">
        <v>44877</v>
      </c>
      <c r="G7" s="27">
        <v>1700000</v>
      </c>
    </row>
    <row r="8" spans="1:11" ht="15.75" thickBot="1" x14ac:dyDescent="0.3">
      <c r="A8" s="21">
        <v>44876</v>
      </c>
      <c r="B8" t="s">
        <v>223</v>
      </c>
      <c r="C8" s="22">
        <v>68</v>
      </c>
      <c r="D8" s="23">
        <v>50000</v>
      </c>
      <c r="E8" s="23">
        <f t="shared" si="0"/>
        <v>3400000</v>
      </c>
      <c r="F8" s="85">
        <v>44878</v>
      </c>
      <c r="G8" s="86"/>
      <c r="I8" s="29" t="s">
        <v>15</v>
      </c>
      <c r="J8" s="30">
        <f>I3-J6</f>
        <v>-14519000</v>
      </c>
    </row>
    <row r="9" spans="1:11" x14ac:dyDescent="0.25">
      <c r="A9" s="21">
        <v>44877</v>
      </c>
      <c r="B9" t="s">
        <v>223</v>
      </c>
      <c r="C9" s="22">
        <v>70</v>
      </c>
      <c r="D9" s="23">
        <v>50000</v>
      </c>
      <c r="E9" s="23">
        <f t="shared" si="0"/>
        <v>3500000</v>
      </c>
      <c r="F9" s="26"/>
      <c r="G9" s="27"/>
    </row>
    <row r="10" spans="1:11" ht="15.75" thickBot="1" x14ac:dyDescent="0.3">
      <c r="A10" s="43">
        <v>44878</v>
      </c>
      <c r="B10" t="s">
        <v>223</v>
      </c>
      <c r="C10" s="22">
        <v>50</v>
      </c>
      <c r="D10" s="20">
        <v>50000</v>
      </c>
      <c r="E10" s="20">
        <f t="shared" si="0"/>
        <v>2500000</v>
      </c>
      <c r="F10" s="26"/>
      <c r="G10" s="27"/>
    </row>
    <row r="11" spans="1:11" ht="15.75" thickBot="1" x14ac:dyDescent="0.3">
      <c r="A11" s="21"/>
      <c r="D11" s="23"/>
      <c r="E11" s="23">
        <f t="shared" si="0"/>
        <v>0</v>
      </c>
      <c r="F11" s="26"/>
      <c r="G11" s="27"/>
      <c r="I11" s="54" t="s">
        <v>66</v>
      </c>
      <c r="J11" s="55"/>
    </row>
    <row r="12" spans="1:11" x14ac:dyDescent="0.25">
      <c r="A12" s="21"/>
      <c r="D12" s="23"/>
      <c r="E12" s="23">
        <f t="shared" si="0"/>
        <v>0</v>
      </c>
      <c r="F12" s="26"/>
      <c r="G12" s="27"/>
    </row>
    <row r="13" spans="1:11" x14ac:dyDescent="0.25">
      <c r="A13" s="21"/>
      <c r="D13" s="23"/>
      <c r="E13" s="23">
        <f t="shared" si="0"/>
        <v>0</v>
      </c>
      <c r="F13" s="26"/>
      <c r="G13" s="27"/>
    </row>
    <row r="14" spans="1:11" ht="15.75" thickBot="1" x14ac:dyDescent="0.3">
      <c r="A14" s="21"/>
      <c r="D14" s="23"/>
      <c r="E14" s="23">
        <f t="shared" si="0"/>
        <v>0</v>
      </c>
      <c r="F14" s="85"/>
      <c r="G14" s="86"/>
    </row>
    <row r="15" spans="1:11" x14ac:dyDescent="0.25">
      <c r="A15" s="21"/>
      <c r="D15" s="23"/>
      <c r="E15" s="23">
        <f t="shared" si="0"/>
        <v>0</v>
      </c>
      <c r="F15" s="26"/>
      <c r="G15" s="27"/>
      <c r="I15" s="114"/>
      <c r="J15" s="115"/>
    </row>
    <row r="16" spans="1:11" ht="15.75" thickBot="1" x14ac:dyDescent="0.3">
      <c r="A16" s="21"/>
      <c r="D16" s="23"/>
      <c r="E16" s="23">
        <f t="shared" si="0"/>
        <v>0</v>
      </c>
      <c r="F16" s="26"/>
      <c r="G16" s="27"/>
      <c r="I16" s="80"/>
      <c r="J16" s="81"/>
    </row>
    <row r="17" spans="1:7" x14ac:dyDescent="0.25">
      <c r="A17" s="21"/>
      <c r="D17" s="23"/>
      <c r="E17" s="23">
        <f t="shared" si="0"/>
        <v>0</v>
      </c>
      <c r="F17" s="26"/>
      <c r="G17" s="27"/>
    </row>
    <row r="18" spans="1:7" x14ac:dyDescent="0.25">
      <c r="A18" s="21"/>
      <c r="D18" s="23"/>
      <c r="E18" s="23">
        <f t="shared" si="0"/>
        <v>0</v>
      </c>
      <c r="F18" s="26"/>
      <c r="G18" s="27"/>
    </row>
    <row r="19" spans="1:7" x14ac:dyDescent="0.25">
      <c r="A19" s="21"/>
      <c r="D19" s="23"/>
      <c r="E19" s="23">
        <f t="shared" si="0"/>
        <v>0</v>
      </c>
      <c r="F19" s="45"/>
      <c r="G19" s="17"/>
    </row>
    <row r="20" spans="1:7" x14ac:dyDescent="0.25">
      <c r="A20" s="43"/>
      <c r="E20" s="67">
        <f t="shared" si="0"/>
        <v>0</v>
      </c>
      <c r="F20" s="85"/>
      <c r="G20" s="86"/>
    </row>
    <row r="21" spans="1:7" x14ac:dyDescent="0.25">
      <c r="A21" s="21"/>
      <c r="D21" s="23"/>
      <c r="E21" s="23">
        <f t="shared" si="0"/>
        <v>0</v>
      </c>
      <c r="F21" s="26"/>
      <c r="G21" s="27"/>
    </row>
    <row r="22" spans="1:7" x14ac:dyDescent="0.25">
      <c r="A22" s="21"/>
      <c r="D22" s="23"/>
      <c r="E22" s="23">
        <f t="shared" si="0"/>
        <v>0</v>
      </c>
      <c r="F22" s="26"/>
      <c r="G22" s="27"/>
    </row>
    <row r="23" spans="1:7" x14ac:dyDescent="0.25">
      <c r="A23" s="21"/>
      <c r="D23" s="23"/>
      <c r="E23" s="23">
        <f t="shared" si="0"/>
        <v>0</v>
      </c>
      <c r="F23" s="26"/>
      <c r="G23" s="27"/>
    </row>
    <row r="24" spans="1:7" x14ac:dyDescent="0.25">
      <c r="A24" s="21"/>
      <c r="D24" s="23"/>
      <c r="E24" s="23">
        <f t="shared" si="0"/>
        <v>0</v>
      </c>
      <c r="F24" s="26"/>
      <c r="G24" s="27"/>
    </row>
    <row r="25" spans="1:7" x14ac:dyDescent="0.25">
      <c r="A25" s="21"/>
      <c r="D25" s="23"/>
      <c r="E25" s="23">
        <f t="shared" si="0"/>
        <v>0</v>
      </c>
      <c r="F25" s="26"/>
      <c r="G25" s="27"/>
    </row>
    <row r="26" spans="1:7" x14ac:dyDescent="0.25">
      <c r="A26" s="21"/>
      <c r="D26" s="23"/>
      <c r="E26" s="23">
        <f t="shared" si="0"/>
        <v>0</v>
      </c>
      <c r="F26" s="85"/>
      <c r="G26" s="86"/>
    </row>
    <row r="27" spans="1:7" x14ac:dyDescent="0.25">
      <c r="A27" s="21"/>
      <c r="D27" s="23"/>
      <c r="E27" s="23">
        <f t="shared" si="0"/>
        <v>0</v>
      </c>
      <c r="F27" s="26"/>
      <c r="G27" s="27"/>
    </row>
    <row r="28" spans="1:7" x14ac:dyDescent="0.25">
      <c r="A28" s="21"/>
      <c r="D28" s="23"/>
      <c r="E28" s="23">
        <f t="shared" si="0"/>
        <v>0</v>
      </c>
      <c r="F28" s="45"/>
      <c r="G28" s="17"/>
    </row>
    <row r="29" spans="1:7" x14ac:dyDescent="0.25">
      <c r="A29" s="21"/>
      <c r="D29" s="23"/>
      <c r="E29" s="23">
        <f t="shared" si="0"/>
        <v>0</v>
      </c>
      <c r="F29" s="26"/>
      <c r="G29" s="27"/>
    </row>
    <row r="30" spans="1:7" x14ac:dyDescent="0.25">
      <c r="A30" s="21"/>
      <c r="D30" s="23"/>
      <c r="E30" s="23">
        <f t="shared" si="0"/>
        <v>0</v>
      </c>
      <c r="F30" s="26"/>
      <c r="G30" s="27"/>
    </row>
    <row r="31" spans="1:7" x14ac:dyDescent="0.25">
      <c r="A31" s="21"/>
      <c r="D31" s="23"/>
      <c r="E31" s="23">
        <f t="shared" si="0"/>
        <v>0</v>
      </c>
      <c r="F31" s="85"/>
      <c r="G31" s="86"/>
    </row>
    <row r="32" spans="1:7" x14ac:dyDescent="0.25">
      <c r="A32" s="43"/>
      <c r="E32" s="44">
        <f t="shared" si="0"/>
        <v>0</v>
      </c>
      <c r="F32" s="26"/>
      <c r="G32" s="27"/>
    </row>
    <row r="33" spans="1:7" x14ac:dyDescent="0.25">
      <c r="A33" s="21"/>
      <c r="D33" s="23"/>
      <c r="E33" s="23">
        <f t="shared" si="0"/>
        <v>0</v>
      </c>
      <c r="F33" s="26"/>
      <c r="G33" s="27"/>
    </row>
    <row r="34" spans="1:7" x14ac:dyDescent="0.25">
      <c r="A34" s="21"/>
      <c r="D34" s="23"/>
      <c r="E34" s="23">
        <f t="shared" si="0"/>
        <v>0</v>
      </c>
      <c r="F34" s="26"/>
      <c r="G34" s="27"/>
    </row>
    <row r="35" spans="1:7" x14ac:dyDescent="0.25">
      <c r="A35" s="21"/>
      <c r="D35" s="23"/>
      <c r="E35" s="23">
        <f t="shared" si="0"/>
        <v>0</v>
      </c>
      <c r="F35" s="26"/>
      <c r="G35" s="27"/>
    </row>
    <row r="36" spans="1:7" x14ac:dyDescent="0.25">
      <c r="A36" s="21"/>
      <c r="D36" s="23"/>
      <c r="E36" s="23">
        <f t="shared" ref="E36:E67" si="1">C36*D36</f>
        <v>0</v>
      </c>
      <c r="F36" s="26"/>
      <c r="G36" s="27"/>
    </row>
    <row r="37" spans="1:7" x14ac:dyDescent="0.25">
      <c r="A37" s="21"/>
      <c r="D37" s="23"/>
      <c r="E37" s="23">
        <f t="shared" si="1"/>
        <v>0</v>
      </c>
      <c r="F37" s="26"/>
      <c r="G37" s="27"/>
    </row>
    <row r="38" spans="1:7" x14ac:dyDescent="0.25">
      <c r="A38" s="21"/>
      <c r="D38" s="23"/>
      <c r="E38" s="23">
        <f t="shared" si="1"/>
        <v>0</v>
      </c>
      <c r="F38" s="85"/>
      <c r="G38" s="86"/>
    </row>
    <row r="39" spans="1:7" x14ac:dyDescent="0.25">
      <c r="A39" s="21"/>
      <c r="D39" s="23"/>
      <c r="E39" s="23">
        <f t="shared" si="1"/>
        <v>0</v>
      </c>
      <c r="F39" s="26"/>
      <c r="G39" s="27"/>
    </row>
    <row r="40" spans="1:7" x14ac:dyDescent="0.25">
      <c r="A40" s="21"/>
      <c r="D40" s="23"/>
      <c r="E40" s="23">
        <f t="shared" si="1"/>
        <v>0</v>
      </c>
      <c r="F40" s="26"/>
      <c r="G40" s="27"/>
    </row>
    <row r="41" spans="1:7" x14ac:dyDescent="0.25">
      <c r="A41" s="21"/>
      <c r="D41" s="23"/>
      <c r="E41" s="23">
        <f t="shared" si="1"/>
        <v>0</v>
      </c>
      <c r="F41" s="45"/>
      <c r="G41" s="17"/>
    </row>
    <row r="42" spans="1:7" x14ac:dyDescent="0.25">
      <c r="A42" s="21"/>
      <c r="D42" s="23"/>
      <c r="E42" s="23">
        <f t="shared" si="1"/>
        <v>0</v>
      </c>
      <c r="F42" s="26"/>
      <c r="G42" s="27"/>
    </row>
    <row r="43" spans="1:7" x14ac:dyDescent="0.25">
      <c r="A43" s="21"/>
      <c r="D43" s="23"/>
      <c r="E43" s="23">
        <f t="shared" si="1"/>
        <v>0</v>
      </c>
      <c r="F43" s="26"/>
      <c r="G43" s="27"/>
    </row>
    <row r="44" spans="1:7" x14ac:dyDescent="0.25">
      <c r="A44" s="21"/>
      <c r="D44" s="23"/>
      <c r="E44" s="23">
        <f t="shared" si="1"/>
        <v>0</v>
      </c>
      <c r="F44" s="26"/>
      <c r="G44" s="27"/>
    </row>
    <row r="45" spans="1:7" x14ac:dyDescent="0.25">
      <c r="A45" s="21"/>
      <c r="D45" s="23"/>
      <c r="E45" s="23">
        <f t="shared" si="1"/>
        <v>0</v>
      </c>
      <c r="F45" s="85"/>
      <c r="G45" s="86"/>
    </row>
    <row r="46" spans="1:7" x14ac:dyDescent="0.25">
      <c r="A46" s="21"/>
      <c r="D46" s="23"/>
      <c r="E46" s="23">
        <f t="shared" si="1"/>
        <v>0</v>
      </c>
      <c r="F46" s="26"/>
      <c r="G46" s="27"/>
    </row>
    <row r="47" spans="1:7" x14ac:dyDescent="0.25">
      <c r="A47" s="21"/>
      <c r="D47" s="23"/>
      <c r="E47" s="23">
        <f t="shared" si="1"/>
        <v>0</v>
      </c>
      <c r="F47" s="26"/>
      <c r="G47" s="27"/>
    </row>
    <row r="48" spans="1:7" x14ac:dyDescent="0.25">
      <c r="A48" s="21"/>
      <c r="D48" s="23"/>
      <c r="E48" s="23">
        <f t="shared" si="1"/>
        <v>0</v>
      </c>
      <c r="F48" s="26"/>
      <c r="G48" s="27"/>
    </row>
    <row r="49" spans="1:7" x14ac:dyDescent="0.25">
      <c r="A49" s="21"/>
      <c r="D49" s="23"/>
      <c r="E49" s="23">
        <f t="shared" si="1"/>
        <v>0</v>
      </c>
      <c r="F49" s="45"/>
      <c r="G49" s="17"/>
    </row>
    <row r="50" spans="1:7" x14ac:dyDescent="0.25">
      <c r="A50" s="21"/>
      <c r="D50" s="23"/>
      <c r="E50" s="23">
        <f t="shared" si="1"/>
        <v>0</v>
      </c>
      <c r="F50" s="26"/>
      <c r="G50" s="27"/>
    </row>
    <row r="51" spans="1:7" x14ac:dyDescent="0.25">
      <c r="A51" s="21"/>
      <c r="D51" s="23"/>
      <c r="E51" s="23">
        <f t="shared" si="1"/>
        <v>0</v>
      </c>
      <c r="F51" s="85"/>
      <c r="G51" s="86"/>
    </row>
    <row r="52" spans="1:7" x14ac:dyDescent="0.25">
      <c r="A52" s="43"/>
      <c r="E52" s="23">
        <f t="shared" si="1"/>
        <v>0</v>
      </c>
      <c r="F52" s="26"/>
      <c r="G52" s="27"/>
    </row>
    <row r="53" spans="1:7" x14ac:dyDescent="0.25">
      <c r="A53" s="21"/>
      <c r="D53" s="23"/>
      <c r="E53" s="23">
        <f t="shared" si="1"/>
        <v>0</v>
      </c>
      <c r="F53" s="26"/>
      <c r="G53" s="27"/>
    </row>
    <row r="54" spans="1:7" x14ac:dyDescent="0.25">
      <c r="A54" s="21"/>
      <c r="D54" s="23"/>
      <c r="E54" s="23">
        <f t="shared" si="1"/>
        <v>0</v>
      </c>
      <c r="F54" s="26"/>
      <c r="G54" s="27"/>
    </row>
    <row r="55" spans="1:7" x14ac:dyDescent="0.25">
      <c r="A55" s="21"/>
      <c r="D55" s="23"/>
      <c r="E55" s="23">
        <f t="shared" si="1"/>
        <v>0</v>
      </c>
      <c r="F55" s="26"/>
      <c r="G55" s="27"/>
    </row>
    <row r="56" spans="1:7" x14ac:dyDescent="0.25">
      <c r="A56" s="21"/>
      <c r="D56" s="23"/>
      <c r="E56" s="23">
        <f t="shared" si="1"/>
        <v>0</v>
      </c>
      <c r="F56" s="26"/>
      <c r="G56" s="27"/>
    </row>
    <row r="57" spans="1:7" x14ac:dyDescent="0.25">
      <c r="A57" s="21"/>
      <c r="D57" s="23"/>
      <c r="E57" s="23">
        <f t="shared" si="1"/>
        <v>0</v>
      </c>
      <c r="F57" s="94"/>
      <c r="G57" s="95"/>
    </row>
    <row r="58" spans="1:7" x14ac:dyDescent="0.25">
      <c r="A58" s="21"/>
      <c r="D58" s="23"/>
      <c r="E58" s="23">
        <f t="shared" si="1"/>
        <v>0</v>
      </c>
      <c r="F58" s="26"/>
      <c r="G58" s="27"/>
    </row>
    <row r="59" spans="1:7" x14ac:dyDescent="0.25">
      <c r="A59" s="21"/>
      <c r="D59" s="23"/>
      <c r="E59" s="23">
        <f t="shared" si="1"/>
        <v>0</v>
      </c>
      <c r="F59" s="26"/>
      <c r="G59" s="27"/>
    </row>
    <row r="60" spans="1:7" x14ac:dyDescent="0.25">
      <c r="A60" s="21"/>
      <c r="D60" s="23"/>
      <c r="E60" s="23">
        <f t="shared" si="1"/>
        <v>0</v>
      </c>
      <c r="F60" s="26"/>
      <c r="G60" s="27"/>
    </row>
    <row r="61" spans="1:7" x14ac:dyDescent="0.25">
      <c r="A61" s="21"/>
      <c r="D61" s="23"/>
      <c r="E61" s="23">
        <f t="shared" si="1"/>
        <v>0</v>
      </c>
      <c r="F61" s="26"/>
      <c r="G61" s="27"/>
    </row>
    <row r="62" spans="1:7" x14ac:dyDescent="0.25">
      <c r="A62" s="21"/>
      <c r="D62" s="23"/>
      <c r="E62" s="23">
        <f t="shared" si="1"/>
        <v>0</v>
      </c>
      <c r="F62" s="26"/>
      <c r="G62" s="27"/>
    </row>
    <row r="63" spans="1:7" x14ac:dyDescent="0.25">
      <c r="A63" s="21"/>
      <c r="D63" s="23"/>
      <c r="E63" s="23">
        <f t="shared" si="1"/>
        <v>0</v>
      </c>
      <c r="F63" s="85"/>
      <c r="G63" s="86"/>
    </row>
    <row r="64" spans="1:7" x14ac:dyDescent="0.25">
      <c r="A64" s="43"/>
      <c r="E64" s="67">
        <f t="shared" si="1"/>
        <v>0</v>
      </c>
      <c r="F64" s="45"/>
      <c r="G64" s="17"/>
    </row>
    <row r="65" spans="1:7" x14ac:dyDescent="0.25">
      <c r="A65" s="21"/>
      <c r="D65" s="23"/>
      <c r="E65" s="23">
        <f t="shared" si="1"/>
        <v>0</v>
      </c>
      <c r="F65" s="26"/>
      <c r="G65" s="27"/>
    </row>
    <row r="66" spans="1:7" x14ac:dyDescent="0.25">
      <c r="A66" s="21"/>
      <c r="D66" s="23"/>
      <c r="E66" s="23">
        <f t="shared" si="1"/>
        <v>0</v>
      </c>
      <c r="F66" s="26"/>
      <c r="G66" s="27"/>
    </row>
    <row r="67" spans="1:7" x14ac:dyDescent="0.25">
      <c r="A67" s="43"/>
      <c r="E67" s="20">
        <f t="shared" si="1"/>
        <v>0</v>
      </c>
      <c r="F67" s="26"/>
      <c r="G67" s="27"/>
    </row>
    <row r="68" spans="1:7" x14ac:dyDescent="0.25">
      <c r="A68" s="21"/>
      <c r="D68" s="23"/>
      <c r="E68" s="23">
        <f t="shared" ref="E68:E99" si="2">C68*D68</f>
        <v>0</v>
      </c>
      <c r="F68" s="26"/>
      <c r="G68" s="27"/>
    </row>
    <row r="69" spans="1:7" x14ac:dyDescent="0.25">
      <c r="A69" s="21"/>
      <c r="D69" s="23"/>
      <c r="E69" s="23">
        <f t="shared" si="2"/>
        <v>0</v>
      </c>
      <c r="F69" s="26"/>
      <c r="G69" s="27"/>
    </row>
    <row r="70" spans="1:7" x14ac:dyDescent="0.25">
      <c r="A70" s="21"/>
      <c r="D70" s="23"/>
      <c r="E70" s="23">
        <f t="shared" si="2"/>
        <v>0</v>
      </c>
      <c r="F70" s="26"/>
      <c r="G70" s="27"/>
    </row>
    <row r="71" spans="1:7" x14ac:dyDescent="0.25">
      <c r="A71" s="21"/>
      <c r="D71" s="23"/>
      <c r="E71" s="23">
        <f t="shared" si="2"/>
        <v>0</v>
      </c>
      <c r="F71" s="26"/>
      <c r="G71" s="27"/>
    </row>
    <row r="72" spans="1:7" x14ac:dyDescent="0.25">
      <c r="A72" s="82"/>
      <c r="B72" s="50"/>
      <c r="C72" s="83"/>
      <c r="D72" s="84"/>
      <c r="E72" s="84">
        <f t="shared" si="2"/>
        <v>0</v>
      </c>
      <c r="F72" s="45"/>
    </row>
    <row r="73" spans="1:7" x14ac:dyDescent="0.25">
      <c r="A73" s="21"/>
      <c r="D73" s="23"/>
      <c r="E73" s="23">
        <f t="shared" si="2"/>
        <v>0</v>
      </c>
      <c r="F73" s="26"/>
      <c r="G73" s="27"/>
    </row>
    <row r="74" spans="1:7" x14ac:dyDescent="0.25">
      <c r="A74" s="43"/>
      <c r="E74" s="20">
        <f t="shared" si="2"/>
        <v>0</v>
      </c>
      <c r="F74" s="26"/>
      <c r="G74" s="27"/>
    </row>
    <row r="75" spans="1:7" x14ac:dyDescent="0.25">
      <c r="A75" s="21"/>
      <c r="D75" s="23"/>
      <c r="E75" s="23">
        <f t="shared" si="2"/>
        <v>0</v>
      </c>
      <c r="F75" s="26"/>
      <c r="G75" s="27"/>
    </row>
    <row r="76" spans="1:7" x14ac:dyDescent="0.25">
      <c r="A76" s="21"/>
      <c r="D76" s="23"/>
      <c r="E76" s="23">
        <f t="shared" si="2"/>
        <v>0</v>
      </c>
      <c r="F76" s="26"/>
      <c r="G76" s="27"/>
    </row>
    <row r="77" spans="1:7" x14ac:dyDescent="0.25">
      <c r="A77" s="21"/>
      <c r="D77" s="23"/>
      <c r="E77" s="23">
        <f t="shared" si="2"/>
        <v>0</v>
      </c>
      <c r="F77" s="26"/>
      <c r="G77" s="27"/>
    </row>
    <row r="78" spans="1:7" x14ac:dyDescent="0.25">
      <c r="A78" s="21"/>
      <c r="D78" s="23"/>
      <c r="E78" s="23">
        <f t="shared" si="2"/>
        <v>0</v>
      </c>
      <c r="F78" s="26"/>
      <c r="G78" s="27"/>
    </row>
    <row r="79" spans="1:7" x14ac:dyDescent="0.25">
      <c r="A79" s="43"/>
      <c r="E79" s="20">
        <f t="shared" si="2"/>
        <v>0</v>
      </c>
      <c r="F79" s="26"/>
      <c r="G79" s="27"/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  <c r="G81" s="17"/>
    </row>
    <row r="82" spans="1:7" x14ac:dyDescent="0.25">
      <c r="A82" s="21"/>
      <c r="D82" s="23"/>
      <c r="E82" s="23">
        <f t="shared" si="2"/>
        <v>0</v>
      </c>
      <c r="F82" s="26"/>
      <c r="G82" s="17"/>
    </row>
    <row r="83" spans="1:7" x14ac:dyDescent="0.25">
      <c r="A83" s="21"/>
      <c r="D83" s="23"/>
      <c r="E83" s="23">
        <f t="shared" si="2"/>
        <v>0</v>
      </c>
      <c r="F83" s="45"/>
      <c r="G83" s="17"/>
    </row>
    <row r="84" spans="1:7" x14ac:dyDescent="0.25">
      <c r="A84" s="21"/>
      <c r="D84" s="23"/>
      <c r="E84" s="23">
        <f t="shared" si="2"/>
        <v>0</v>
      </c>
      <c r="F84" s="45"/>
      <c r="G84" s="17"/>
    </row>
    <row r="85" spans="1:7" x14ac:dyDescent="0.25">
      <c r="A85" s="21"/>
      <c r="D85" s="23"/>
      <c r="E85" s="23">
        <f t="shared" si="2"/>
        <v>0</v>
      </c>
      <c r="F85" s="45"/>
      <c r="G85" s="17"/>
    </row>
    <row r="86" spans="1:7" x14ac:dyDescent="0.25">
      <c r="A86" s="21"/>
      <c r="D86" s="23"/>
      <c r="E86" s="23">
        <f t="shared" si="2"/>
        <v>0</v>
      </c>
      <c r="F86" s="45"/>
      <c r="G86" s="17"/>
    </row>
    <row r="87" spans="1:7" x14ac:dyDescent="0.25">
      <c r="A87" s="21"/>
      <c r="D87" s="23"/>
      <c r="E87" s="23">
        <f t="shared" si="2"/>
        <v>0</v>
      </c>
      <c r="F87" s="45"/>
      <c r="G87" s="17"/>
    </row>
    <row r="88" spans="1:7" x14ac:dyDescent="0.25">
      <c r="A88" s="21"/>
      <c r="D88" s="23"/>
      <c r="E88" s="23">
        <f t="shared" si="2"/>
        <v>0</v>
      </c>
      <c r="F88" s="45"/>
    </row>
    <row r="89" spans="1:7" x14ac:dyDescent="0.25">
      <c r="A89" s="21"/>
      <c r="D89" s="23"/>
      <c r="E89" s="23">
        <f t="shared" si="2"/>
        <v>0</v>
      </c>
      <c r="F89" s="45"/>
    </row>
    <row r="90" spans="1:7" x14ac:dyDescent="0.25">
      <c r="A90" s="43"/>
      <c r="E90" s="20">
        <f t="shared" si="2"/>
        <v>0</v>
      </c>
      <c r="F90" s="45"/>
    </row>
    <row r="91" spans="1:7" x14ac:dyDescent="0.25">
      <c r="A91" s="21"/>
      <c r="D91" s="23"/>
      <c r="E91" s="23">
        <f t="shared" si="2"/>
        <v>0</v>
      </c>
      <c r="F91" s="45"/>
    </row>
    <row r="92" spans="1:7" x14ac:dyDescent="0.25">
      <c r="A92" s="21"/>
      <c r="D92" s="23"/>
      <c r="E92" s="23">
        <f t="shared" si="2"/>
        <v>0</v>
      </c>
      <c r="F92" s="45"/>
    </row>
    <row r="93" spans="1:7" x14ac:dyDescent="0.25">
      <c r="A93" s="21"/>
      <c r="D93" s="23"/>
      <c r="E93" s="23">
        <f t="shared" si="2"/>
        <v>0</v>
      </c>
      <c r="F93" s="45"/>
    </row>
    <row r="94" spans="1:7" x14ac:dyDescent="0.25">
      <c r="A94" s="21"/>
      <c r="D94" s="23"/>
      <c r="E94" s="23">
        <f t="shared" si="2"/>
        <v>0</v>
      </c>
      <c r="F94" s="45"/>
    </row>
    <row r="95" spans="1:7" x14ac:dyDescent="0.25">
      <c r="A95" s="21"/>
      <c r="D95" s="23"/>
      <c r="E95" s="23">
        <f t="shared" si="2"/>
        <v>0</v>
      </c>
    </row>
    <row r="96" spans="1:7" x14ac:dyDescent="0.25">
      <c r="A96" s="21"/>
      <c r="D96" s="23"/>
      <c r="E96" s="23">
        <f t="shared" si="2"/>
        <v>0</v>
      </c>
    </row>
    <row r="97" spans="1:5" x14ac:dyDescent="0.25">
      <c r="A97" s="21"/>
      <c r="D97" s="23"/>
      <c r="E97" s="23">
        <f t="shared" si="2"/>
        <v>0</v>
      </c>
    </row>
    <row r="98" spans="1:5" x14ac:dyDescent="0.25">
      <c r="A98" s="21"/>
      <c r="D98" s="23"/>
      <c r="E98" s="23">
        <f t="shared" si="2"/>
        <v>0</v>
      </c>
    </row>
    <row r="99" spans="1:5" x14ac:dyDescent="0.25">
      <c r="A99" s="21"/>
      <c r="D99" s="23"/>
      <c r="E99" s="23">
        <f t="shared" si="2"/>
        <v>0</v>
      </c>
    </row>
    <row r="100" spans="1:5" x14ac:dyDescent="0.25">
      <c r="A100" s="21"/>
      <c r="D100" s="23"/>
      <c r="E100" s="23">
        <f t="shared" ref="E100:E131" si="3">C100*D100</f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>
        <f t="shared" si="3"/>
        <v>0</v>
      </c>
    </row>
    <row r="113" spans="1:7" x14ac:dyDescent="0.25">
      <c r="A113" s="21"/>
      <c r="D113" s="23"/>
      <c r="E113" s="23">
        <f t="shared" si="3"/>
        <v>0</v>
      </c>
    </row>
    <row r="114" spans="1:7" x14ac:dyDescent="0.25">
      <c r="A114" s="21"/>
      <c r="D114" s="23"/>
      <c r="E114" s="23">
        <f t="shared" si="3"/>
        <v>0</v>
      </c>
    </row>
    <row r="115" spans="1:7" x14ac:dyDescent="0.25">
      <c r="A115" s="21"/>
      <c r="D115" s="23"/>
      <c r="E115" s="23">
        <f t="shared" si="3"/>
        <v>0</v>
      </c>
    </row>
    <row r="116" spans="1:7" x14ac:dyDescent="0.25">
      <c r="A116" s="21"/>
      <c r="D116" s="23"/>
      <c r="E116" s="23">
        <f t="shared" si="3"/>
        <v>0</v>
      </c>
    </row>
    <row r="117" spans="1:7" x14ac:dyDescent="0.25">
      <c r="A117" s="43"/>
      <c r="E117" s="20">
        <f t="shared" si="3"/>
        <v>0</v>
      </c>
    </row>
    <row r="118" spans="1:7" x14ac:dyDescent="0.25">
      <c r="A118" s="43"/>
      <c r="E118" s="23">
        <f t="shared" si="3"/>
        <v>0</v>
      </c>
    </row>
    <row r="119" spans="1:7" x14ac:dyDescent="0.25">
      <c r="A119" s="43"/>
      <c r="E119" s="23">
        <f t="shared" si="3"/>
        <v>0</v>
      </c>
    </row>
    <row r="120" spans="1:7" x14ac:dyDescent="0.25">
      <c r="A120" s="43"/>
      <c r="E120" s="23">
        <f t="shared" si="3"/>
        <v>0</v>
      </c>
    </row>
    <row r="121" spans="1:7" x14ac:dyDescent="0.25">
      <c r="A121" s="43"/>
      <c r="E121" s="23">
        <f t="shared" si="3"/>
        <v>0</v>
      </c>
    </row>
    <row r="122" spans="1:7" x14ac:dyDescent="0.25">
      <c r="A122" s="43"/>
      <c r="E122" s="23">
        <f t="shared" si="3"/>
        <v>0</v>
      </c>
    </row>
    <row r="123" spans="1:7" x14ac:dyDescent="0.25">
      <c r="A123" s="43"/>
      <c r="E123" s="23">
        <f t="shared" si="3"/>
        <v>0</v>
      </c>
    </row>
    <row r="124" spans="1:7" x14ac:dyDescent="0.25">
      <c r="A124" s="43"/>
      <c r="E124" s="67">
        <f t="shared" si="3"/>
        <v>0</v>
      </c>
    </row>
    <row r="125" spans="1:7" x14ac:dyDescent="0.25">
      <c r="A125" s="43"/>
      <c r="E125" s="67">
        <f t="shared" si="3"/>
        <v>0</v>
      </c>
    </row>
    <row r="126" spans="1:7" x14ac:dyDescent="0.25">
      <c r="A126" s="43"/>
      <c r="E126" s="23">
        <f t="shared" si="3"/>
        <v>0</v>
      </c>
      <c r="G126" s="27"/>
    </row>
    <row r="127" spans="1:7" x14ac:dyDescent="0.25">
      <c r="A127" s="43"/>
      <c r="E127" s="67">
        <f t="shared" si="3"/>
        <v>0</v>
      </c>
    </row>
    <row r="128" spans="1:7" x14ac:dyDescent="0.25">
      <c r="A128" s="43"/>
      <c r="E128" s="67">
        <f t="shared" si="3"/>
        <v>0</v>
      </c>
    </row>
    <row r="129" spans="1:7" x14ac:dyDescent="0.25">
      <c r="A129" s="43"/>
      <c r="E129" s="67">
        <f t="shared" si="3"/>
        <v>0</v>
      </c>
    </row>
    <row r="130" spans="1:7" x14ac:dyDescent="0.25">
      <c r="A130" s="43"/>
      <c r="E130" s="20">
        <f t="shared" si="3"/>
        <v>0</v>
      </c>
      <c r="G130" s="27"/>
    </row>
    <row r="131" spans="1:7" x14ac:dyDescent="0.25">
      <c r="A131" s="43"/>
      <c r="E131" s="20">
        <f t="shared" si="3"/>
        <v>0</v>
      </c>
      <c r="G131" s="17"/>
    </row>
    <row r="132" spans="1:7" x14ac:dyDescent="0.25">
      <c r="E132" s="20">
        <f t="shared" ref="E132:E163" si="4">C132*D132</f>
        <v>0</v>
      </c>
    </row>
    <row r="133" spans="1:7" x14ac:dyDescent="0.25">
      <c r="E133" s="20">
        <f t="shared" si="4"/>
        <v>0</v>
      </c>
    </row>
    <row r="199" spans="5:7" x14ac:dyDescent="0.25">
      <c r="E199" s="23">
        <f>SUM(E3:E198)</f>
        <v>49367000</v>
      </c>
      <c r="G199" s="27">
        <f>SUM(G3:G198)</f>
        <v>28510000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5:J5"/>
    <mergeCell ref="I15:J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9A24C-A0DC-6742-9C90-7A12A9208D9D}">
  <sheetPr>
    <tabColor rgb="FF7030A0"/>
  </sheetPr>
  <dimension ref="A1:K200"/>
  <sheetViews>
    <sheetView topLeftCell="I31" zoomScaleNormal="60" zoomScaleSheetLayoutView="100" workbookViewId="0">
      <selection activeCell="C136" sqref="C136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.85546875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88" t="s">
        <v>131</v>
      </c>
      <c r="J2" s="87"/>
    </row>
    <row r="3" spans="1:11" ht="15.75" thickBot="1" x14ac:dyDescent="0.3">
      <c r="A3" s="39" t="s">
        <v>7</v>
      </c>
      <c r="B3" s="39"/>
      <c r="C3" s="40"/>
      <c r="D3" s="41"/>
      <c r="E3" s="42">
        <f>'2021 Хисобот 2'!I3</f>
        <v>20721500</v>
      </c>
      <c r="F3" s="26">
        <v>44565</v>
      </c>
      <c r="G3" s="27">
        <v>300000</v>
      </c>
      <c r="I3" s="110">
        <f>E199-G199</f>
        <v>30649000</v>
      </c>
      <c r="J3" s="111"/>
    </row>
    <row r="4" spans="1:11" x14ac:dyDescent="0.25">
      <c r="A4" s="21">
        <v>44565</v>
      </c>
      <c r="B4" t="s">
        <v>113</v>
      </c>
      <c r="C4" s="22">
        <v>38</v>
      </c>
      <c r="D4" s="23">
        <v>42000</v>
      </c>
      <c r="E4" s="23">
        <f t="shared" ref="E4:E35" si="0">C4*D4</f>
        <v>1596000</v>
      </c>
      <c r="F4" s="26">
        <v>44566</v>
      </c>
      <c r="G4" s="27">
        <v>1875000</v>
      </c>
      <c r="I4" s="89" t="s">
        <v>132</v>
      </c>
      <c r="J4" s="90">
        <v>10850</v>
      </c>
    </row>
    <row r="5" spans="1:11" ht="15.75" thickBot="1" x14ac:dyDescent="0.3">
      <c r="A5" s="21">
        <v>44565</v>
      </c>
      <c r="B5" t="s">
        <v>114</v>
      </c>
      <c r="C5" s="22">
        <v>30</v>
      </c>
      <c r="D5" s="23">
        <v>42000</v>
      </c>
      <c r="E5" s="67">
        <f t="shared" si="0"/>
        <v>1260000</v>
      </c>
      <c r="F5" s="26">
        <v>44567</v>
      </c>
      <c r="G5" s="27">
        <v>3425000</v>
      </c>
      <c r="I5" s="112">
        <f>I3/J4</f>
        <v>2824.7926267281105</v>
      </c>
      <c r="J5" s="113"/>
    </row>
    <row r="6" spans="1:11" ht="15.75" thickBot="1" x14ac:dyDescent="0.3">
      <c r="A6" s="21">
        <v>44565</v>
      </c>
      <c r="B6" t="s">
        <v>115</v>
      </c>
      <c r="C6" s="22">
        <v>36</v>
      </c>
      <c r="D6" s="23">
        <v>14000</v>
      </c>
      <c r="E6" s="23">
        <f t="shared" si="0"/>
        <v>504000</v>
      </c>
      <c r="F6" s="26">
        <v>44568</v>
      </c>
      <c r="G6" s="27">
        <v>15260000</v>
      </c>
      <c r="I6" s="91" t="s">
        <v>14</v>
      </c>
      <c r="J6" s="92">
        <f>ост.охири!F5</f>
        <v>35376000</v>
      </c>
      <c r="K6" s="1"/>
    </row>
    <row r="7" spans="1:11" ht="15.75" thickBot="1" x14ac:dyDescent="0.3">
      <c r="A7" s="21">
        <v>44566</v>
      </c>
      <c r="B7" t="s">
        <v>113</v>
      </c>
      <c r="C7" s="22">
        <v>42</v>
      </c>
      <c r="D7" s="23">
        <v>42000</v>
      </c>
      <c r="E7" s="23">
        <f t="shared" si="0"/>
        <v>1764000</v>
      </c>
      <c r="F7" s="26">
        <v>44569</v>
      </c>
      <c r="G7" s="27">
        <v>2650000</v>
      </c>
    </row>
    <row r="8" spans="1:11" ht="15.75" thickBot="1" x14ac:dyDescent="0.3">
      <c r="A8" s="21">
        <v>44566</v>
      </c>
      <c r="B8" t="s">
        <v>114</v>
      </c>
      <c r="C8" s="22">
        <v>80</v>
      </c>
      <c r="D8" s="23">
        <v>42000</v>
      </c>
      <c r="E8" s="23">
        <f t="shared" si="0"/>
        <v>3360000</v>
      </c>
      <c r="F8" s="85">
        <v>44570</v>
      </c>
      <c r="G8" s="86">
        <v>9288000</v>
      </c>
      <c r="H8" s="47" t="s">
        <v>45</v>
      </c>
      <c r="I8" s="29" t="s">
        <v>15</v>
      </c>
      <c r="J8" s="30">
        <f>I3-J6</f>
        <v>-4727000</v>
      </c>
    </row>
    <row r="9" spans="1:11" x14ac:dyDescent="0.25">
      <c r="A9" s="21">
        <v>44566</v>
      </c>
      <c r="B9" t="s">
        <v>116</v>
      </c>
      <c r="C9" s="22">
        <v>135</v>
      </c>
      <c r="D9" s="23">
        <v>45000</v>
      </c>
      <c r="E9" s="23">
        <f t="shared" si="0"/>
        <v>6075000</v>
      </c>
      <c r="F9" s="26">
        <v>44570</v>
      </c>
      <c r="G9" s="27">
        <v>2528500</v>
      </c>
    </row>
    <row r="10" spans="1:11" ht="15.75" thickBot="1" x14ac:dyDescent="0.3">
      <c r="A10" s="43">
        <v>44567</v>
      </c>
      <c r="B10" t="s">
        <v>114</v>
      </c>
      <c r="C10" s="22">
        <v>54</v>
      </c>
      <c r="D10" s="20">
        <v>42000</v>
      </c>
      <c r="E10" s="20">
        <f t="shared" si="0"/>
        <v>2268000</v>
      </c>
      <c r="F10" s="26"/>
      <c r="G10" s="27"/>
    </row>
    <row r="11" spans="1:11" ht="15.75" thickBot="1" x14ac:dyDescent="0.3">
      <c r="A11" s="21">
        <v>44567</v>
      </c>
      <c r="B11" t="s">
        <v>113</v>
      </c>
      <c r="C11" s="22">
        <v>12</v>
      </c>
      <c r="D11" s="23">
        <v>42000</v>
      </c>
      <c r="E11" s="23">
        <f t="shared" si="0"/>
        <v>504000</v>
      </c>
      <c r="F11" s="26">
        <v>44572</v>
      </c>
      <c r="G11" s="27">
        <v>3700000</v>
      </c>
      <c r="I11" s="54" t="s">
        <v>66</v>
      </c>
      <c r="J11" s="55"/>
    </row>
    <row r="12" spans="1:11" x14ac:dyDescent="0.25">
      <c r="A12" s="21">
        <v>44567</v>
      </c>
      <c r="B12" t="s">
        <v>117</v>
      </c>
      <c r="C12" s="22">
        <f>105+54</f>
        <v>159</v>
      </c>
      <c r="D12" s="23">
        <v>45000</v>
      </c>
      <c r="E12" s="23">
        <f t="shared" si="0"/>
        <v>7155000</v>
      </c>
      <c r="F12" s="26">
        <v>44573</v>
      </c>
      <c r="G12" s="27">
        <v>720000</v>
      </c>
    </row>
    <row r="13" spans="1:11" x14ac:dyDescent="0.25">
      <c r="A13" s="21">
        <v>44567</v>
      </c>
      <c r="B13" t="s">
        <v>118</v>
      </c>
      <c r="C13" s="22">
        <v>12</v>
      </c>
      <c r="D13" s="23">
        <v>33500</v>
      </c>
      <c r="E13" s="23">
        <f t="shared" si="0"/>
        <v>402000</v>
      </c>
      <c r="F13" s="26">
        <v>44574</v>
      </c>
      <c r="G13" s="27">
        <f>7650000+800000</f>
        <v>8450000</v>
      </c>
    </row>
    <row r="14" spans="1:11" ht="15.75" thickBot="1" x14ac:dyDescent="0.3">
      <c r="A14" s="21">
        <v>44568</v>
      </c>
      <c r="B14" t="s">
        <v>114</v>
      </c>
      <c r="C14" s="22">
        <v>37</v>
      </c>
      <c r="D14" s="23">
        <v>42000</v>
      </c>
      <c r="E14" s="23">
        <f t="shared" si="0"/>
        <v>1554000</v>
      </c>
      <c r="F14" s="26">
        <v>44575</v>
      </c>
      <c r="G14" s="27">
        <v>621000</v>
      </c>
    </row>
    <row r="15" spans="1:11" x14ac:dyDescent="0.25">
      <c r="A15" s="21">
        <v>44569</v>
      </c>
      <c r="B15" t="s">
        <v>114</v>
      </c>
      <c r="C15" s="22">
        <v>126</v>
      </c>
      <c r="D15" s="23">
        <v>42000</v>
      </c>
      <c r="E15" s="23">
        <f t="shared" si="0"/>
        <v>5292000</v>
      </c>
      <c r="F15" s="26">
        <v>44576</v>
      </c>
      <c r="G15" s="27">
        <v>1662000</v>
      </c>
      <c r="I15" s="114"/>
      <c r="J15" s="115"/>
    </row>
    <row r="16" spans="1:11" ht="15.75" thickBot="1" x14ac:dyDescent="0.3">
      <c r="A16" s="21"/>
      <c r="B16" t="s">
        <v>120</v>
      </c>
      <c r="D16" s="23"/>
      <c r="E16" s="23">
        <f t="shared" si="0"/>
        <v>0</v>
      </c>
      <c r="F16" s="26">
        <v>44577</v>
      </c>
      <c r="G16" s="27">
        <v>2825000</v>
      </c>
      <c r="I16" s="80"/>
      <c r="J16" s="81"/>
    </row>
    <row r="17" spans="1:7" x14ac:dyDescent="0.25">
      <c r="A17" s="21">
        <v>44572</v>
      </c>
      <c r="B17" t="s">
        <v>117</v>
      </c>
      <c r="C17" s="22">
        <v>60</v>
      </c>
      <c r="D17" s="23">
        <v>45000</v>
      </c>
      <c r="E17" s="23">
        <f t="shared" si="0"/>
        <v>2700000</v>
      </c>
      <c r="F17" s="26"/>
      <c r="G17" s="27"/>
    </row>
    <row r="18" spans="1:7" x14ac:dyDescent="0.25">
      <c r="A18" s="21">
        <v>44572</v>
      </c>
      <c r="B18" t="s">
        <v>114</v>
      </c>
      <c r="C18" s="22">
        <v>60</v>
      </c>
      <c r="D18" s="23">
        <v>42000</v>
      </c>
      <c r="E18" s="23">
        <f t="shared" si="0"/>
        <v>2520000</v>
      </c>
      <c r="F18" s="26">
        <v>44580</v>
      </c>
      <c r="G18" s="27">
        <v>1550000</v>
      </c>
    </row>
    <row r="19" spans="1:7" x14ac:dyDescent="0.25">
      <c r="A19" s="21">
        <v>44572</v>
      </c>
      <c r="B19" t="s">
        <v>116</v>
      </c>
      <c r="C19" s="22">
        <v>15</v>
      </c>
      <c r="D19" s="23">
        <v>45000</v>
      </c>
      <c r="E19" s="23">
        <f t="shared" si="0"/>
        <v>675000</v>
      </c>
      <c r="F19" s="45">
        <v>44581</v>
      </c>
      <c r="G19" s="25">
        <v>1250000</v>
      </c>
    </row>
    <row r="20" spans="1:7" x14ac:dyDescent="0.25">
      <c r="A20" s="43">
        <v>44573</v>
      </c>
      <c r="B20" t="s">
        <v>114</v>
      </c>
      <c r="C20" s="22">
        <v>58</v>
      </c>
      <c r="D20" s="20">
        <v>42000</v>
      </c>
      <c r="E20" s="67">
        <f t="shared" si="0"/>
        <v>2436000</v>
      </c>
      <c r="F20" s="26">
        <v>44583</v>
      </c>
      <c r="G20" s="27">
        <v>1250000</v>
      </c>
    </row>
    <row r="21" spans="1:7" x14ac:dyDescent="0.25">
      <c r="A21" s="21">
        <v>44573</v>
      </c>
      <c r="B21" t="s">
        <v>117</v>
      </c>
      <c r="C21" s="22">
        <v>54</v>
      </c>
      <c r="D21" s="23">
        <v>45000</v>
      </c>
      <c r="E21" s="23">
        <f t="shared" si="0"/>
        <v>2430000</v>
      </c>
      <c r="F21" s="26">
        <v>44584</v>
      </c>
      <c r="G21" s="27">
        <v>300000</v>
      </c>
    </row>
    <row r="22" spans="1:7" x14ac:dyDescent="0.25">
      <c r="A22" s="21">
        <v>44574</v>
      </c>
      <c r="B22" t="s">
        <v>121</v>
      </c>
      <c r="C22" s="22">
        <v>120</v>
      </c>
      <c r="D22" s="23">
        <v>41000</v>
      </c>
      <c r="E22" s="23">
        <f t="shared" si="0"/>
        <v>4920000</v>
      </c>
      <c r="F22" s="26"/>
      <c r="G22" s="27"/>
    </row>
    <row r="23" spans="1:7" x14ac:dyDescent="0.25">
      <c r="A23" s="21">
        <v>44575</v>
      </c>
      <c r="B23" t="s">
        <v>121</v>
      </c>
      <c r="C23" s="22">
        <v>177</v>
      </c>
      <c r="D23" s="23">
        <v>41000</v>
      </c>
      <c r="E23" s="23">
        <f t="shared" si="0"/>
        <v>7257000</v>
      </c>
      <c r="F23" s="26">
        <v>44586</v>
      </c>
      <c r="G23" s="27">
        <v>2700000</v>
      </c>
    </row>
    <row r="24" spans="1:7" x14ac:dyDescent="0.25">
      <c r="A24" s="21">
        <v>44576</v>
      </c>
      <c r="B24" t="s">
        <v>121</v>
      </c>
      <c r="C24" s="22">
        <v>60</v>
      </c>
      <c r="D24" s="23">
        <v>41000</v>
      </c>
      <c r="E24" s="23">
        <f t="shared" si="0"/>
        <v>2460000</v>
      </c>
      <c r="F24" s="26">
        <v>44588</v>
      </c>
      <c r="G24" s="27">
        <v>6862000</v>
      </c>
    </row>
    <row r="25" spans="1:7" x14ac:dyDescent="0.25">
      <c r="A25" s="21">
        <v>44577</v>
      </c>
      <c r="B25" t="s">
        <v>121</v>
      </c>
      <c r="C25" s="22">
        <v>45</v>
      </c>
      <c r="D25" s="23">
        <v>41000</v>
      </c>
      <c r="E25" s="23">
        <f t="shared" si="0"/>
        <v>1845000</v>
      </c>
      <c r="F25" s="26">
        <v>44590</v>
      </c>
      <c r="G25" s="27">
        <v>400000</v>
      </c>
    </row>
    <row r="26" spans="1:7" x14ac:dyDescent="0.25">
      <c r="A26" s="21">
        <v>44577</v>
      </c>
      <c r="B26" t="s">
        <v>113</v>
      </c>
      <c r="C26" s="22">
        <v>60</v>
      </c>
      <c r="D26" s="23">
        <v>42000</v>
      </c>
      <c r="E26" s="23">
        <f t="shared" si="0"/>
        <v>2520000</v>
      </c>
      <c r="F26" s="26">
        <v>44591</v>
      </c>
      <c r="G26" s="27">
        <v>1240000</v>
      </c>
    </row>
    <row r="27" spans="1:7" x14ac:dyDescent="0.25">
      <c r="A27" s="21"/>
      <c r="B27">
        <v>0</v>
      </c>
      <c r="D27" s="23"/>
      <c r="E27" s="23">
        <f t="shared" si="0"/>
        <v>0</v>
      </c>
      <c r="F27" s="26"/>
      <c r="G27" s="27"/>
    </row>
    <row r="28" spans="1:7" x14ac:dyDescent="0.25">
      <c r="A28" s="21">
        <v>44580</v>
      </c>
      <c r="B28" t="s">
        <v>123</v>
      </c>
      <c r="C28" s="22">
        <v>54</v>
      </c>
      <c r="D28" s="23">
        <v>41000</v>
      </c>
      <c r="E28" s="23">
        <f t="shared" si="0"/>
        <v>2214000</v>
      </c>
      <c r="F28" s="45">
        <v>44593</v>
      </c>
      <c r="G28" s="25">
        <v>500000</v>
      </c>
    </row>
    <row r="29" spans="1:7" x14ac:dyDescent="0.25">
      <c r="A29" s="21">
        <v>44581</v>
      </c>
      <c r="B29" t="s">
        <v>123</v>
      </c>
      <c r="C29" s="22">
        <v>60</v>
      </c>
      <c r="D29" s="23">
        <v>41000</v>
      </c>
      <c r="E29" s="23">
        <f t="shared" si="0"/>
        <v>2460000</v>
      </c>
      <c r="F29" s="26">
        <v>44594</v>
      </c>
      <c r="G29" s="27">
        <v>1100000</v>
      </c>
    </row>
    <row r="30" spans="1:7" x14ac:dyDescent="0.25">
      <c r="A30" s="21">
        <v>44582</v>
      </c>
      <c r="B30" t="s">
        <v>124</v>
      </c>
      <c r="C30" s="22">
        <v>45</v>
      </c>
      <c r="D30" s="23">
        <v>41000</v>
      </c>
      <c r="E30" s="23">
        <f t="shared" si="0"/>
        <v>1845000</v>
      </c>
      <c r="F30" s="26">
        <v>44595</v>
      </c>
      <c r="G30" s="27">
        <v>3415000</v>
      </c>
    </row>
    <row r="31" spans="1:7" x14ac:dyDescent="0.25">
      <c r="A31" s="21">
        <v>44583</v>
      </c>
      <c r="B31" t="s">
        <v>124</v>
      </c>
      <c r="C31" s="22">
        <v>105</v>
      </c>
      <c r="D31" s="23">
        <v>41000</v>
      </c>
      <c r="E31" s="23">
        <f t="shared" si="0"/>
        <v>4305000</v>
      </c>
      <c r="F31" s="26">
        <v>44596</v>
      </c>
      <c r="G31" s="27">
        <v>284000</v>
      </c>
    </row>
    <row r="32" spans="1:7" x14ac:dyDescent="0.25">
      <c r="A32" s="43">
        <v>44583</v>
      </c>
      <c r="B32" t="s">
        <v>123</v>
      </c>
      <c r="C32" s="22">
        <v>27</v>
      </c>
      <c r="D32" s="20">
        <v>41000</v>
      </c>
      <c r="E32" s="44">
        <f t="shared" si="0"/>
        <v>1107000</v>
      </c>
      <c r="F32" s="26">
        <v>44597</v>
      </c>
      <c r="G32" s="27">
        <v>1300000</v>
      </c>
    </row>
    <row r="33" spans="1:8" x14ac:dyDescent="0.25">
      <c r="A33" s="21">
        <v>44583</v>
      </c>
      <c r="B33" t="s">
        <v>125</v>
      </c>
      <c r="C33" s="22">
        <v>81</v>
      </c>
      <c r="D33" s="23">
        <v>41000</v>
      </c>
      <c r="E33" s="23">
        <f t="shared" si="0"/>
        <v>3321000</v>
      </c>
      <c r="F33" s="26">
        <v>44598</v>
      </c>
      <c r="G33" s="27">
        <f>2360000+1390000</f>
        <v>3750000</v>
      </c>
    </row>
    <row r="34" spans="1:8" x14ac:dyDescent="0.25">
      <c r="A34" s="21"/>
      <c r="B34" t="s">
        <v>129</v>
      </c>
      <c r="D34" s="23"/>
      <c r="E34" s="23">
        <f t="shared" si="0"/>
        <v>0</v>
      </c>
      <c r="F34" s="26"/>
      <c r="G34" s="27"/>
    </row>
    <row r="35" spans="1:8" x14ac:dyDescent="0.25">
      <c r="A35" s="21">
        <v>44586</v>
      </c>
      <c r="B35" t="s">
        <v>123</v>
      </c>
      <c r="C35" s="22">
        <v>18</v>
      </c>
      <c r="D35" s="23">
        <v>41000</v>
      </c>
      <c r="E35" s="23">
        <f t="shared" si="0"/>
        <v>738000</v>
      </c>
      <c r="F35" s="26">
        <v>44600</v>
      </c>
      <c r="G35" s="27">
        <v>5471000</v>
      </c>
    </row>
    <row r="36" spans="1:8" x14ac:dyDescent="0.25">
      <c r="A36" s="21">
        <v>44586</v>
      </c>
      <c r="B36" t="s">
        <v>124</v>
      </c>
      <c r="C36" s="22">
        <v>18</v>
      </c>
      <c r="D36" s="23">
        <v>41000</v>
      </c>
      <c r="E36" s="23">
        <f t="shared" ref="E36:E67" si="1">C36*D36</f>
        <v>738000</v>
      </c>
      <c r="F36" s="26">
        <v>44602</v>
      </c>
      <c r="G36" s="27">
        <v>2110000</v>
      </c>
    </row>
    <row r="37" spans="1:8" x14ac:dyDescent="0.25">
      <c r="A37" s="21">
        <v>44586</v>
      </c>
      <c r="B37" t="s">
        <v>125</v>
      </c>
      <c r="C37" s="22">
        <v>99</v>
      </c>
      <c r="D37" s="23">
        <v>41000</v>
      </c>
      <c r="E37" s="23">
        <f t="shared" si="1"/>
        <v>4059000</v>
      </c>
      <c r="F37" s="26">
        <v>44603</v>
      </c>
      <c r="G37" s="27">
        <v>3922000</v>
      </c>
    </row>
    <row r="38" spans="1:8" x14ac:dyDescent="0.25">
      <c r="A38" s="21">
        <v>44586</v>
      </c>
      <c r="B38" t="s">
        <v>67</v>
      </c>
      <c r="C38" s="22">
        <v>60</v>
      </c>
      <c r="D38" s="23">
        <v>35000</v>
      </c>
      <c r="E38" s="23">
        <f t="shared" si="1"/>
        <v>2100000</v>
      </c>
      <c r="F38" s="26">
        <v>44604</v>
      </c>
      <c r="G38" s="27">
        <v>4555000</v>
      </c>
    </row>
    <row r="39" spans="1:8" x14ac:dyDescent="0.25">
      <c r="A39" s="21">
        <v>44586</v>
      </c>
      <c r="B39" t="s">
        <v>87</v>
      </c>
      <c r="C39" s="22">
        <v>6</v>
      </c>
      <c r="D39" s="23">
        <v>34000</v>
      </c>
      <c r="E39" s="23">
        <f t="shared" si="1"/>
        <v>204000</v>
      </c>
      <c r="F39" s="26">
        <v>44605</v>
      </c>
      <c r="G39" s="27">
        <v>956000</v>
      </c>
      <c r="H39" t="s">
        <v>66</v>
      </c>
    </row>
    <row r="40" spans="1:8" x14ac:dyDescent="0.25">
      <c r="A40" s="21">
        <v>44587</v>
      </c>
      <c r="B40" t="s">
        <v>121</v>
      </c>
      <c r="C40" s="22">
        <v>180</v>
      </c>
      <c r="D40" s="23">
        <v>41000</v>
      </c>
      <c r="E40" s="23">
        <f t="shared" si="1"/>
        <v>7380000</v>
      </c>
      <c r="F40" s="26">
        <v>44605</v>
      </c>
      <c r="G40" s="27">
        <v>2043000</v>
      </c>
      <c r="H40" t="s">
        <v>45</v>
      </c>
    </row>
    <row r="41" spans="1:8" x14ac:dyDescent="0.25">
      <c r="A41" s="21">
        <v>44588</v>
      </c>
      <c r="B41" t="s">
        <v>130</v>
      </c>
      <c r="C41" s="22">
        <v>60</v>
      </c>
      <c r="D41" s="23">
        <v>45000</v>
      </c>
      <c r="E41" s="23">
        <f t="shared" si="1"/>
        <v>2700000</v>
      </c>
      <c r="F41" s="45">
        <v>44605</v>
      </c>
      <c r="G41" s="17">
        <f>207*41000+84*45000+50*32000</f>
        <v>13867000</v>
      </c>
      <c r="H41" t="s">
        <v>141</v>
      </c>
    </row>
    <row r="42" spans="1:8" x14ac:dyDescent="0.25">
      <c r="A42" s="21">
        <v>44588</v>
      </c>
      <c r="B42" t="s">
        <v>8</v>
      </c>
      <c r="C42" s="22">
        <v>32</v>
      </c>
      <c r="D42" s="23">
        <v>40000</v>
      </c>
      <c r="E42" s="23">
        <f t="shared" si="1"/>
        <v>1280000</v>
      </c>
      <c r="F42" s="26">
        <v>44605</v>
      </c>
      <c r="G42" s="27">
        <v>2665000</v>
      </c>
      <c r="H42" t="s">
        <v>33</v>
      </c>
    </row>
    <row r="43" spans="1:8" x14ac:dyDescent="0.25">
      <c r="A43" s="21">
        <v>44591</v>
      </c>
      <c r="B43" t="s">
        <v>8</v>
      </c>
      <c r="C43" s="22">
        <v>28</v>
      </c>
      <c r="D43" s="23">
        <v>40000</v>
      </c>
      <c r="E43" s="23">
        <f t="shared" si="1"/>
        <v>1120000</v>
      </c>
      <c r="F43" s="26"/>
      <c r="G43" s="27"/>
    </row>
    <row r="44" spans="1:8" x14ac:dyDescent="0.25">
      <c r="A44" s="21">
        <v>44591</v>
      </c>
      <c r="B44" t="s">
        <v>133</v>
      </c>
      <c r="C44" s="22">
        <v>84</v>
      </c>
      <c r="D44" s="23">
        <v>51000</v>
      </c>
      <c r="E44" s="23">
        <f t="shared" si="1"/>
        <v>4284000</v>
      </c>
      <c r="F44" s="26">
        <v>44607</v>
      </c>
      <c r="G44" s="27">
        <v>3500000</v>
      </c>
    </row>
    <row r="45" spans="1:8" x14ac:dyDescent="0.25">
      <c r="A45" s="21">
        <v>44591</v>
      </c>
      <c r="B45" t="s">
        <v>130</v>
      </c>
      <c r="C45" s="22">
        <v>6</v>
      </c>
      <c r="D45" s="23">
        <v>45000</v>
      </c>
      <c r="E45" s="23">
        <f t="shared" si="1"/>
        <v>270000</v>
      </c>
      <c r="F45" s="26">
        <v>44608</v>
      </c>
      <c r="G45" s="27">
        <v>950000</v>
      </c>
    </row>
    <row r="46" spans="1:8" x14ac:dyDescent="0.25">
      <c r="A46" s="21">
        <v>44591</v>
      </c>
      <c r="B46" t="s">
        <v>121</v>
      </c>
      <c r="C46" s="22">
        <v>18</v>
      </c>
      <c r="D46" s="23">
        <v>41000</v>
      </c>
      <c r="E46" s="23">
        <f t="shared" si="1"/>
        <v>738000</v>
      </c>
      <c r="F46" s="26">
        <v>44609</v>
      </c>
      <c r="G46" s="27">
        <v>2000000</v>
      </c>
    </row>
    <row r="47" spans="1:8" x14ac:dyDescent="0.25">
      <c r="A47" s="21"/>
      <c r="B47" t="s">
        <v>85</v>
      </c>
      <c r="D47" s="23"/>
      <c r="E47" s="23">
        <f t="shared" si="1"/>
        <v>0</v>
      </c>
      <c r="F47" s="26">
        <v>44610</v>
      </c>
      <c r="G47" s="27">
        <v>3800000</v>
      </c>
    </row>
    <row r="48" spans="1:8" x14ac:dyDescent="0.25">
      <c r="A48" s="21">
        <v>44597</v>
      </c>
      <c r="B48" t="s">
        <v>134</v>
      </c>
      <c r="C48" s="22">
        <v>60</v>
      </c>
      <c r="D48" s="23">
        <v>32500</v>
      </c>
      <c r="E48" s="23">
        <f t="shared" si="1"/>
        <v>1950000</v>
      </c>
      <c r="F48" s="26">
        <v>44611</v>
      </c>
      <c r="G48" s="27">
        <v>450000</v>
      </c>
    </row>
    <row r="49" spans="1:7" x14ac:dyDescent="0.25">
      <c r="A49" s="21">
        <v>44597</v>
      </c>
      <c r="B49" t="s">
        <v>135</v>
      </c>
      <c r="C49" s="22">
        <v>26</v>
      </c>
      <c r="D49" s="23">
        <v>35000</v>
      </c>
      <c r="E49" s="23">
        <f t="shared" si="1"/>
        <v>910000</v>
      </c>
      <c r="F49" s="45">
        <v>44612</v>
      </c>
      <c r="G49" s="17">
        <v>3658000</v>
      </c>
    </row>
    <row r="50" spans="1:7" x14ac:dyDescent="0.25">
      <c r="A50" s="21">
        <v>44598</v>
      </c>
      <c r="B50" t="s">
        <v>136</v>
      </c>
      <c r="C50" s="22">
        <v>50</v>
      </c>
      <c r="D50" s="23">
        <v>38000</v>
      </c>
      <c r="E50" s="23">
        <f t="shared" si="1"/>
        <v>1900000</v>
      </c>
      <c r="F50" s="26"/>
      <c r="G50" s="27"/>
    </row>
    <row r="51" spans="1:7" x14ac:dyDescent="0.25">
      <c r="A51" s="21"/>
      <c r="B51" t="s">
        <v>129</v>
      </c>
      <c r="D51" s="23"/>
      <c r="E51" s="23">
        <f t="shared" si="1"/>
        <v>0</v>
      </c>
      <c r="F51" s="26">
        <v>44614</v>
      </c>
      <c r="G51" s="27">
        <v>5600000</v>
      </c>
    </row>
    <row r="52" spans="1:7" x14ac:dyDescent="0.25">
      <c r="A52" s="43">
        <v>44601</v>
      </c>
      <c r="B52" t="s">
        <v>121</v>
      </c>
      <c r="C52" s="22">
        <v>30</v>
      </c>
      <c r="D52" s="20">
        <v>41000</v>
      </c>
      <c r="E52" s="23">
        <f t="shared" si="1"/>
        <v>1230000</v>
      </c>
      <c r="F52" s="26">
        <v>44615</v>
      </c>
      <c r="G52" s="27">
        <v>7050000</v>
      </c>
    </row>
    <row r="53" spans="1:7" x14ac:dyDescent="0.25">
      <c r="A53" s="21">
        <v>44602</v>
      </c>
      <c r="B53" t="s">
        <v>136</v>
      </c>
      <c r="C53" s="22">
        <v>80</v>
      </c>
      <c r="D53" s="23">
        <v>38000</v>
      </c>
      <c r="E53" s="23">
        <f t="shared" si="1"/>
        <v>3040000</v>
      </c>
      <c r="F53" s="26">
        <v>44616</v>
      </c>
      <c r="G53" s="27">
        <v>7000000</v>
      </c>
    </row>
    <row r="54" spans="1:7" x14ac:dyDescent="0.25">
      <c r="A54" s="21">
        <v>44603</v>
      </c>
      <c r="B54" t="s">
        <v>140</v>
      </c>
      <c r="C54" s="22">
        <v>24</v>
      </c>
      <c r="D54" s="23">
        <v>32000</v>
      </c>
      <c r="E54" s="23">
        <f t="shared" si="1"/>
        <v>768000</v>
      </c>
      <c r="F54" s="26">
        <v>44617</v>
      </c>
      <c r="G54" s="27">
        <v>3300000</v>
      </c>
    </row>
    <row r="55" spans="1:7" x14ac:dyDescent="0.25">
      <c r="A55" s="21">
        <v>44604</v>
      </c>
      <c r="B55" t="s">
        <v>140</v>
      </c>
      <c r="C55" s="22">
        <v>128</v>
      </c>
      <c r="D55" s="23">
        <v>32000</v>
      </c>
      <c r="E55" s="23">
        <f t="shared" si="1"/>
        <v>4096000</v>
      </c>
      <c r="F55" s="26">
        <v>44618</v>
      </c>
      <c r="G55" s="27">
        <v>2200000</v>
      </c>
    </row>
    <row r="56" spans="1:7" x14ac:dyDescent="0.25">
      <c r="A56" s="21">
        <v>44604</v>
      </c>
      <c r="B56" t="s">
        <v>121</v>
      </c>
      <c r="C56" s="22">
        <v>36</v>
      </c>
      <c r="D56" s="23">
        <v>41000</v>
      </c>
      <c r="E56" s="23">
        <f t="shared" si="1"/>
        <v>1476000</v>
      </c>
      <c r="F56" s="26">
        <v>44619</v>
      </c>
      <c r="G56" s="27">
        <v>5872000</v>
      </c>
    </row>
    <row r="57" spans="1:7" x14ac:dyDescent="0.25">
      <c r="A57" s="21">
        <v>44605</v>
      </c>
      <c r="B57" t="s">
        <v>140</v>
      </c>
      <c r="C57" s="22">
        <v>110</v>
      </c>
      <c r="D57" s="23">
        <v>32000</v>
      </c>
      <c r="E57" s="23">
        <f t="shared" si="1"/>
        <v>3520000</v>
      </c>
      <c r="F57" s="45"/>
      <c r="G57" s="17"/>
    </row>
    <row r="58" spans="1:7" x14ac:dyDescent="0.25">
      <c r="A58" s="21">
        <v>44605</v>
      </c>
      <c r="B58" t="s">
        <v>121</v>
      </c>
      <c r="C58" s="22">
        <v>51</v>
      </c>
      <c r="D58" s="23">
        <v>41000</v>
      </c>
      <c r="E58" s="23">
        <f t="shared" si="1"/>
        <v>2091000</v>
      </c>
      <c r="F58" s="26">
        <v>44621</v>
      </c>
      <c r="G58" s="27">
        <v>1950000</v>
      </c>
    </row>
    <row r="59" spans="1:7" x14ac:dyDescent="0.25">
      <c r="A59" s="21">
        <v>44605</v>
      </c>
      <c r="B59" t="s">
        <v>136</v>
      </c>
      <c r="C59" s="22">
        <v>18</v>
      </c>
      <c r="D59" s="23">
        <v>38000</v>
      </c>
      <c r="E59" s="23">
        <f t="shared" si="1"/>
        <v>684000</v>
      </c>
      <c r="F59" s="26">
        <v>44622</v>
      </c>
      <c r="G59" s="27">
        <v>4400000</v>
      </c>
    </row>
    <row r="60" spans="1:7" x14ac:dyDescent="0.25">
      <c r="A60" s="21"/>
      <c r="B60" t="s">
        <v>129</v>
      </c>
      <c r="D60" s="23"/>
      <c r="E60" s="23">
        <f t="shared" si="1"/>
        <v>0</v>
      </c>
      <c r="F60" s="26">
        <v>44623</v>
      </c>
      <c r="G60" s="27">
        <v>6785000</v>
      </c>
    </row>
    <row r="61" spans="1:7" x14ac:dyDescent="0.25">
      <c r="A61" s="21">
        <v>44607</v>
      </c>
      <c r="B61" t="s">
        <v>140</v>
      </c>
      <c r="C61" s="22">
        <v>72</v>
      </c>
      <c r="D61" s="23">
        <v>32000</v>
      </c>
      <c r="E61" s="23">
        <f t="shared" si="1"/>
        <v>2304000</v>
      </c>
      <c r="F61" s="26">
        <v>44624</v>
      </c>
      <c r="G61" s="27">
        <v>2300000</v>
      </c>
    </row>
    <row r="62" spans="1:7" x14ac:dyDescent="0.25">
      <c r="A62" s="21">
        <v>44607</v>
      </c>
      <c r="B62" t="s">
        <v>136</v>
      </c>
      <c r="C62" s="22">
        <v>40</v>
      </c>
      <c r="D62" s="23">
        <v>38000</v>
      </c>
      <c r="E62" s="23">
        <f t="shared" si="1"/>
        <v>1520000</v>
      </c>
      <c r="F62" s="26">
        <v>44625</v>
      </c>
      <c r="G62" s="27">
        <v>5000000</v>
      </c>
    </row>
    <row r="63" spans="1:7" x14ac:dyDescent="0.25">
      <c r="A63" s="21">
        <v>44608</v>
      </c>
      <c r="B63" t="s">
        <v>140</v>
      </c>
      <c r="C63" s="22">
        <v>122</v>
      </c>
      <c r="D63" s="23">
        <v>32000</v>
      </c>
      <c r="E63" s="23">
        <f t="shared" si="1"/>
        <v>3904000</v>
      </c>
      <c r="F63" s="26">
        <v>44626</v>
      </c>
      <c r="G63" s="27">
        <v>6744000</v>
      </c>
    </row>
    <row r="64" spans="1:7" x14ac:dyDescent="0.25">
      <c r="A64" s="43">
        <v>44609</v>
      </c>
      <c r="B64" t="s">
        <v>140</v>
      </c>
      <c r="C64" s="22">
        <v>88</v>
      </c>
      <c r="D64" s="20">
        <v>32000</v>
      </c>
      <c r="E64" s="67">
        <f t="shared" si="1"/>
        <v>2816000</v>
      </c>
      <c r="F64" s="45"/>
      <c r="G64" s="17"/>
    </row>
    <row r="65" spans="1:8" x14ac:dyDescent="0.25">
      <c r="A65" s="21">
        <v>44610</v>
      </c>
      <c r="B65" t="s">
        <v>142</v>
      </c>
      <c r="C65" s="22">
        <v>30</v>
      </c>
      <c r="D65" s="23">
        <v>33000</v>
      </c>
      <c r="E65" s="23">
        <f t="shared" si="1"/>
        <v>990000</v>
      </c>
      <c r="F65" s="26">
        <v>44628</v>
      </c>
      <c r="G65" s="27">
        <v>3650000</v>
      </c>
    </row>
    <row r="66" spans="1:8" x14ac:dyDescent="0.25">
      <c r="A66" s="21">
        <v>44611</v>
      </c>
      <c r="B66" t="s">
        <v>140</v>
      </c>
      <c r="C66" s="22">
        <v>16</v>
      </c>
      <c r="D66" s="23">
        <v>32000</v>
      </c>
      <c r="E66" s="23">
        <f t="shared" si="1"/>
        <v>512000</v>
      </c>
      <c r="F66" s="26">
        <v>44629</v>
      </c>
      <c r="G66" s="27">
        <v>3300000</v>
      </c>
    </row>
    <row r="67" spans="1:8" x14ac:dyDescent="0.25">
      <c r="A67" s="43">
        <v>44611</v>
      </c>
      <c r="B67" t="s">
        <v>142</v>
      </c>
      <c r="C67" s="22">
        <v>72</v>
      </c>
      <c r="D67" s="20">
        <v>33000</v>
      </c>
      <c r="E67" s="20">
        <f t="shared" si="1"/>
        <v>2376000</v>
      </c>
      <c r="F67" s="26">
        <v>44630</v>
      </c>
      <c r="G67" s="27">
        <v>7400000</v>
      </c>
    </row>
    <row r="68" spans="1:8" x14ac:dyDescent="0.25">
      <c r="A68" s="21">
        <v>44611</v>
      </c>
      <c r="B68" t="s">
        <v>87</v>
      </c>
      <c r="C68" s="22">
        <v>12</v>
      </c>
      <c r="D68" s="23">
        <v>34000</v>
      </c>
      <c r="E68" s="23">
        <f t="shared" ref="E68:E99" si="2">C68*D68</f>
        <v>408000</v>
      </c>
      <c r="F68" s="26">
        <v>44631</v>
      </c>
      <c r="G68" s="27">
        <v>1550000</v>
      </c>
    </row>
    <row r="69" spans="1:8" x14ac:dyDescent="0.25">
      <c r="A69" s="21">
        <v>44611</v>
      </c>
      <c r="B69" t="s">
        <v>67</v>
      </c>
      <c r="C69" s="22">
        <v>46</v>
      </c>
      <c r="D69" s="23">
        <v>35000</v>
      </c>
      <c r="E69" s="23">
        <f t="shared" si="2"/>
        <v>1610000</v>
      </c>
      <c r="F69" s="26">
        <v>44632</v>
      </c>
      <c r="G69" s="27">
        <f>900000+1230000</f>
        <v>2130000</v>
      </c>
    </row>
    <row r="70" spans="1:8" x14ac:dyDescent="0.25">
      <c r="A70" s="21">
        <v>44612</v>
      </c>
      <c r="B70" t="s">
        <v>142</v>
      </c>
      <c r="C70" s="22">
        <v>54</v>
      </c>
      <c r="D70" s="23">
        <v>33000</v>
      </c>
      <c r="E70" s="23">
        <f t="shared" si="2"/>
        <v>1782000</v>
      </c>
      <c r="F70" s="26">
        <v>44633</v>
      </c>
      <c r="G70" s="27">
        <f>13*32500</f>
        <v>422500</v>
      </c>
      <c r="H70" t="s">
        <v>159</v>
      </c>
    </row>
    <row r="71" spans="1:8" x14ac:dyDescent="0.25">
      <c r="A71" s="21">
        <v>44612</v>
      </c>
      <c r="B71" t="s">
        <v>143</v>
      </c>
      <c r="C71" s="22">
        <v>96</v>
      </c>
      <c r="D71" s="23">
        <v>42000</v>
      </c>
      <c r="E71" s="23">
        <f t="shared" si="2"/>
        <v>4032000</v>
      </c>
      <c r="F71" s="26">
        <v>44633</v>
      </c>
      <c r="G71" s="27">
        <v>570000</v>
      </c>
      <c r="H71" t="s">
        <v>160</v>
      </c>
    </row>
    <row r="72" spans="1:8" x14ac:dyDescent="0.25">
      <c r="A72" s="82"/>
      <c r="B72" s="50" t="s">
        <v>129</v>
      </c>
      <c r="C72" s="83"/>
      <c r="D72" s="84"/>
      <c r="E72" s="84">
        <f t="shared" si="2"/>
        <v>0</v>
      </c>
      <c r="F72" s="45">
        <v>44633</v>
      </c>
      <c r="G72" s="25">
        <v>2075000</v>
      </c>
      <c r="H72" t="s">
        <v>6</v>
      </c>
    </row>
    <row r="73" spans="1:8" x14ac:dyDescent="0.25">
      <c r="A73" s="21">
        <v>44614</v>
      </c>
      <c r="B73" t="s">
        <v>143</v>
      </c>
      <c r="C73" s="22">
        <v>80</v>
      </c>
      <c r="D73" s="23">
        <v>42000</v>
      </c>
      <c r="E73" s="23">
        <f t="shared" si="2"/>
        <v>3360000</v>
      </c>
      <c r="F73" s="26"/>
      <c r="G73" s="27"/>
    </row>
    <row r="74" spans="1:8" x14ac:dyDescent="0.25">
      <c r="A74" s="43">
        <v>44614</v>
      </c>
      <c r="B74" t="s">
        <v>140</v>
      </c>
      <c r="C74" s="22">
        <v>20</v>
      </c>
      <c r="D74" s="20">
        <v>32000</v>
      </c>
      <c r="E74" s="20">
        <f t="shared" si="2"/>
        <v>640000</v>
      </c>
      <c r="F74" s="26">
        <v>44635</v>
      </c>
      <c r="G74" s="27">
        <v>1400000</v>
      </c>
    </row>
    <row r="75" spans="1:8" x14ac:dyDescent="0.25">
      <c r="A75" s="21">
        <v>44615</v>
      </c>
      <c r="B75" t="s">
        <v>143</v>
      </c>
      <c r="C75" s="22">
        <v>30</v>
      </c>
      <c r="D75" s="23">
        <v>42000</v>
      </c>
      <c r="E75" s="23">
        <f t="shared" si="2"/>
        <v>1260000</v>
      </c>
      <c r="F75" s="26">
        <v>44636</v>
      </c>
      <c r="G75" s="27">
        <v>3515000</v>
      </c>
    </row>
    <row r="76" spans="1:8" x14ac:dyDescent="0.25">
      <c r="A76" s="21">
        <v>44615</v>
      </c>
      <c r="B76" t="s">
        <v>140</v>
      </c>
      <c r="C76" s="22">
        <v>40</v>
      </c>
      <c r="D76" s="23">
        <v>32000</v>
      </c>
      <c r="E76" s="23">
        <f t="shared" si="2"/>
        <v>1280000</v>
      </c>
      <c r="F76" s="26">
        <v>44637</v>
      </c>
      <c r="G76" s="27">
        <v>3330000</v>
      </c>
    </row>
    <row r="77" spans="1:8" x14ac:dyDescent="0.25">
      <c r="A77" s="21">
        <v>44616</v>
      </c>
      <c r="B77" t="s">
        <v>147</v>
      </c>
      <c r="C77" s="22">
        <v>80</v>
      </c>
      <c r="D77" s="23">
        <v>36000</v>
      </c>
      <c r="E77" s="23">
        <f t="shared" si="2"/>
        <v>2880000</v>
      </c>
      <c r="F77" s="26">
        <v>44638</v>
      </c>
      <c r="G77" s="27">
        <v>175000</v>
      </c>
    </row>
    <row r="78" spans="1:8" x14ac:dyDescent="0.25">
      <c r="A78" s="21">
        <v>44617</v>
      </c>
      <c r="B78" t="s">
        <v>143</v>
      </c>
      <c r="C78" s="22">
        <v>140</v>
      </c>
      <c r="D78" s="23">
        <v>42000</v>
      </c>
      <c r="E78" s="23">
        <f t="shared" si="2"/>
        <v>5880000</v>
      </c>
      <c r="F78" s="26">
        <v>44639</v>
      </c>
      <c r="G78" s="27">
        <v>2500000</v>
      </c>
    </row>
    <row r="79" spans="1:8" x14ac:dyDescent="0.25">
      <c r="A79" s="43">
        <v>44618</v>
      </c>
      <c r="B79" t="s">
        <v>143</v>
      </c>
      <c r="C79" s="22">
        <v>50</v>
      </c>
      <c r="D79" s="20">
        <v>42000</v>
      </c>
      <c r="E79" s="20">
        <f t="shared" si="2"/>
        <v>2100000</v>
      </c>
      <c r="F79" s="26">
        <v>44640</v>
      </c>
      <c r="G79" s="27">
        <v>4441000</v>
      </c>
    </row>
    <row r="80" spans="1:8" x14ac:dyDescent="0.25">
      <c r="A80" s="21">
        <v>44618</v>
      </c>
      <c r="B80" t="s">
        <v>140</v>
      </c>
      <c r="C80" s="22">
        <v>38</v>
      </c>
      <c r="D80" s="23">
        <v>32000</v>
      </c>
      <c r="E80" s="23">
        <f t="shared" si="2"/>
        <v>1216000</v>
      </c>
    </row>
    <row r="81" spans="1:8" x14ac:dyDescent="0.25">
      <c r="A81" s="21">
        <v>44619</v>
      </c>
      <c r="B81" t="s">
        <v>148</v>
      </c>
      <c r="C81" s="22">
        <v>54</v>
      </c>
      <c r="D81" s="23">
        <v>35000</v>
      </c>
      <c r="E81" s="23">
        <f t="shared" si="2"/>
        <v>1890000</v>
      </c>
      <c r="F81" s="26">
        <v>44642</v>
      </c>
      <c r="G81" s="17">
        <v>400000</v>
      </c>
    </row>
    <row r="82" spans="1:8" x14ac:dyDescent="0.25">
      <c r="A82" s="21">
        <v>44619</v>
      </c>
      <c r="B82" t="s">
        <v>140</v>
      </c>
      <c r="C82" s="22">
        <v>98</v>
      </c>
      <c r="D82" s="23">
        <v>32000</v>
      </c>
      <c r="E82" s="23">
        <f t="shared" si="2"/>
        <v>3136000</v>
      </c>
      <c r="F82" s="26">
        <v>44643</v>
      </c>
      <c r="G82" s="17">
        <v>3725000</v>
      </c>
    </row>
    <row r="83" spans="1:8" x14ac:dyDescent="0.25">
      <c r="A83" s="21"/>
      <c r="B83" t="s">
        <v>151</v>
      </c>
      <c r="D83" s="23"/>
      <c r="E83" s="23">
        <f t="shared" si="2"/>
        <v>0</v>
      </c>
      <c r="F83" s="45">
        <v>44644</v>
      </c>
      <c r="G83" s="17">
        <v>2820000</v>
      </c>
    </row>
    <row r="84" spans="1:8" x14ac:dyDescent="0.25">
      <c r="A84" s="21">
        <v>44621</v>
      </c>
      <c r="B84" t="s">
        <v>140</v>
      </c>
      <c r="C84" s="22">
        <v>30</v>
      </c>
      <c r="D84" s="23">
        <v>32000</v>
      </c>
      <c r="E84" s="23">
        <f t="shared" si="2"/>
        <v>960000</v>
      </c>
      <c r="F84" s="45">
        <v>44645</v>
      </c>
      <c r="G84" s="17">
        <v>3700000</v>
      </c>
    </row>
    <row r="85" spans="1:8" x14ac:dyDescent="0.25">
      <c r="A85" s="21">
        <v>44621</v>
      </c>
      <c r="B85" t="s">
        <v>143</v>
      </c>
      <c r="C85" s="22">
        <v>74</v>
      </c>
      <c r="D85" s="23">
        <v>42000</v>
      </c>
      <c r="E85" s="23">
        <f t="shared" si="2"/>
        <v>3108000</v>
      </c>
      <c r="F85" s="45">
        <v>44646</v>
      </c>
      <c r="G85" s="17">
        <v>1420000</v>
      </c>
    </row>
    <row r="86" spans="1:8" x14ac:dyDescent="0.25">
      <c r="A86" s="21">
        <v>44622</v>
      </c>
      <c r="B86" t="s">
        <v>143</v>
      </c>
      <c r="C86" s="22">
        <v>66</v>
      </c>
      <c r="D86" s="23">
        <v>42000</v>
      </c>
      <c r="E86" s="23">
        <f t="shared" si="2"/>
        <v>2772000</v>
      </c>
      <c r="F86" s="45">
        <v>44647</v>
      </c>
      <c r="G86" s="17">
        <v>891500</v>
      </c>
      <c r="H86" t="s">
        <v>45</v>
      </c>
    </row>
    <row r="87" spans="1:8" x14ac:dyDescent="0.25">
      <c r="A87" s="21">
        <v>44622</v>
      </c>
      <c r="B87" t="s">
        <v>140</v>
      </c>
      <c r="C87" s="22">
        <v>30</v>
      </c>
      <c r="D87" s="23">
        <v>32000</v>
      </c>
      <c r="E87" s="23">
        <f t="shared" si="2"/>
        <v>960000</v>
      </c>
      <c r="F87" s="45">
        <v>44647</v>
      </c>
      <c r="G87" s="17">
        <v>2500000</v>
      </c>
      <c r="H87" t="s">
        <v>165</v>
      </c>
    </row>
    <row r="88" spans="1:8" x14ac:dyDescent="0.25">
      <c r="A88" s="21">
        <v>44623</v>
      </c>
      <c r="B88" t="s">
        <v>148</v>
      </c>
      <c r="C88" s="22">
        <v>188</v>
      </c>
      <c r="D88" s="23">
        <v>35000</v>
      </c>
      <c r="E88" s="23">
        <f t="shared" si="2"/>
        <v>6580000</v>
      </c>
      <c r="F88" s="45">
        <v>44647</v>
      </c>
      <c r="G88" s="25">
        <v>3463000</v>
      </c>
    </row>
    <row r="89" spans="1:8" x14ac:dyDescent="0.25">
      <c r="A89" s="21">
        <v>44624</v>
      </c>
      <c r="B89" t="s">
        <v>148</v>
      </c>
      <c r="C89" s="22">
        <v>38</v>
      </c>
      <c r="D89" s="23">
        <v>35000</v>
      </c>
      <c r="E89" s="23">
        <f t="shared" si="2"/>
        <v>1330000</v>
      </c>
      <c r="F89" s="45">
        <v>44649</v>
      </c>
      <c r="G89" s="25">
        <v>6000000</v>
      </c>
    </row>
    <row r="90" spans="1:8" x14ac:dyDescent="0.25">
      <c r="A90" s="43">
        <v>44624</v>
      </c>
      <c r="B90" t="s">
        <v>147</v>
      </c>
      <c r="C90" s="22">
        <v>84</v>
      </c>
      <c r="D90" s="20">
        <v>36000</v>
      </c>
      <c r="E90" s="20">
        <f t="shared" si="2"/>
        <v>3024000</v>
      </c>
      <c r="F90" s="45">
        <v>44650</v>
      </c>
      <c r="G90" s="25">
        <v>1500000</v>
      </c>
    </row>
    <row r="91" spans="1:8" x14ac:dyDescent="0.25">
      <c r="A91" s="21">
        <v>44625</v>
      </c>
      <c r="B91" t="s">
        <v>147</v>
      </c>
      <c r="C91" s="22">
        <v>62</v>
      </c>
      <c r="D91" s="23">
        <v>36000</v>
      </c>
      <c r="E91" s="23">
        <f t="shared" si="2"/>
        <v>2232000</v>
      </c>
      <c r="F91" s="45">
        <v>44651</v>
      </c>
      <c r="G91" s="25">
        <v>2220000</v>
      </c>
    </row>
    <row r="92" spans="1:8" x14ac:dyDescent="0.25">
      <c r="A92" s="21">
        <v>44625</v>
      </c>
      <c r="B92" t="s">
        <v>152</v>
      </c>
      <c r="C92" s="22">
        <v>70</v>
      </c>
      <c r="D92" s="23">
        <v>42000</v>
      </c>
      <c r="E92" s="23">
        <f t="shared" si="2"/>
        <v>2940000</v>
      </c>
      <c r="F92" s="45">
        <v>44652</v>
      </c>
      <c r="G92" s="25">
        <v>2300000</v>
      </c>
    </row>
    <row r="93" spans="1:8" x14ac:dyDescent="0.25">
      <c r="A93" s="21">
        <v>44626</v>
      </c>
      <c r="B93" t="s">
        <v>140</v>
      </c>
      <c r="C93" s="22">
        <v>60</v>
      </c>
      <c r="D93" s="23">
        <v>32000</v>
      </c>
      <c r="E93" s="23">
        <f t="shared" si="2"/>
        <v>1920000</v>
      </c>
      <c r="F93" s="45">
        <v>44653</v>
      </c>
      <c r="G93" s="25">
        <v>350000</v>
      </c>
    </row>
    <row r="94" spans="1:8" x14ac:dyDescent="0.25">
      <c r="A94" s="21">
        <v>44626</v>
      </c>
      <c r="B94" t="s">
        <v>152</v>
      </c>
      <c r="C94" s="22">
        <v>58</v>
      </c>
      <c r="D94" s="23">
        <v>44000</v>
      </c>
      <c r="E94" s="23">
        <f t="shared" si="2"/>
        <v>2552000</v>
      </c>
      <c r="F94" s="45">
        <v>44654</v>
      </c>
      <c r="G94" s="25">
        <v>1362000</v>
      </c>
    </row>
    <row r="95" spans="1:8" x14ac:dyDescent="0.25">
      <c r="A95" s="21"/>
      <c r="B95" t="s">
        <v>151</v>
      </c>
      <c r="D95" s="23"/>
      <c r="E95" s="23">
        <f t="shared" si="2"/>
        <v>0</v>
      </c>
    </row>
    <row r="96" spans="1:8" x14ac:dyDescent="0.25">
      <c r="A96" s="21">
        <v>44628</v>
      </c>
      <c r="B96" t="s">
        <v>143</v>
      </c>
      <c r="C96" s="22">
        <v>64</v>
      </c>
      <c r="D96" s="23">
        <v>42000</v>
      </c>
      <c r="E96" s="23">
        <f t="shared" si="2"/>
        <v>2688000</v>
      </c>
    </row>
    <row r="97" spans="1:5" x14ac:dyDescent="0.25">
      <c r="A97" s="21">
        <v>44628</v>
      </c>
      <c r="B97" t="s">
        <v>140</v>
      </c>
      <c r="C97" s="22">
        <v>50</v>
      </c>
      <c r="D97" s="23">
        <v>32000</v>
      </c>
      <c r="E97" s="23">
        <f t="shared" si="2"/>
        <v>1600000</v>
      </c>
    </row>
    <row r="98" spans="1:5" x14ac:dyDescent="0.25">
      <c r="A98" s="21">
        <v>44629</v>
      </c>
      <c r="B98" t="s">
        <v>140</v>
      </c>
      <c r="C98" s="22">
        <v>16</v>
      </c>
      <c r="D98" s="23">
        <v>32000</v>
      </c>
      <c r="E98" s="23">
        <f t="shared" si="2"/>
        <v>512000</v>
      </c>
    </row>
    <row r="99" spans="1:5" x14ac:dyDescent="0.25">
      <c r="A99" s="21">
        <v>44629</v>
      </c>
      <c r="B99" t="s">
        <v>143</v>
      </c>
      <c r="C99" s="22">
        <v>128</v>
      </c>
      <c r="D99" s="23">
        <v>42000</v>
      </c>
      <c r="E99" s="23">
        <f t="shared" si="2"/>
        <v>5376000</v>
      </c>
    </row>
    <row r="100" spans="1:5" x14ac:dyDescent="0.25">
      <c r="A100" s="21">
        <v>44630</v>
      </c>
      <c r="B100" t="s">
        <v>143</v>
      </c>
      <c r="C100" s="22">
        <v>82</v>
      </c>
      <c r="D100" s="23">
        <v>42000</v>
      </c>
      <c r="E100" s="23">
        <f t="shared" ref="E100:E131" si="3">C100*D100</f>
        <v>3444000</v>
      </c>
    </row>
    <row r="101" spans="1:5" x14ac:dyDescent="0.25">
      <c r="A101" s="21">
        <v>44631</v>
      </c>
      <c r="B101" t="s">
        <v>140</v>
      </c>
      <c r="C101" s="22">
        <v>60</v>
      </c>
      <c r="D101" s="23">
        <v>32000</v>
      </c>
      <c r="E101" s="23">
        <f t="shared" si="3"/>
        <v>1920000</v>
      </c>
    </row>
    <row r="102" spans="1:5" x14ac:dyDescent="0.25">
      <c r="A102" s="21">
        <v>44631</v>
      </c>
      <c r="B102" t="s">
        <v>143</v>
      </c>
      <c r="C102" s="22">
        <v>126</v>
      </c>
      <c r="D102" s="23">
        <v>42000</v>
      </c>
      <c r="E102" s="23">
        <f t="shared" si="3"/>
        <v>5292000</v>
      </c>
    </row>
    <row r="103" spans="1:5" x14ac:dyDescent="0.25">
      <c r="A103" s="43">
        <v>44632</v>
      </c>
      <c r="B103" t="s">
        <v>143</v>
      </c>
      <c r="C103" s="22">
        <v>30</v>
      </c>
      <c r="D103" s="20">
        <v>42000</v>
      </c>
      <c r="E103" s="20">
        <f t="shared" si="3"/>
        <v>1260000</v>
      </c>
    </row>
    <row r="104" spans="1:5" x14ac:dyDescent="0.25">
      <c r="A104" s="21">
        <v>44633</v>
      </c>
      <c r="B104" t="s">
        <v>157</v>
      </c>
      <c r="C104" s="22">
        <v>28</v>
      </c>
      <c r="D104" s="23">
        <v>45000</v>
      </c>
      <c r="E104" s="23">
        <f t="shared" si="3"/>
        <v>1260000</v>
      </c>
    </row>
    <row r="105" spans="1:5" x14ac:dyDescent="0.25">
      <c r="A105" s="21">
        <v>44633</v>
      </c>
      <c r="B105" t="s">
        <v>158</v>
      </c>
      <c r="C105" s="22">
        <v>36</v>
      </c>
      <c r="D105" s="23">
        <v>45000</v>
      </c>
      <c r="E105" s="23">
        <f t="shared" si="3"/>
        <v>1620000</v>
      </c>
    </row>
    <row r="106" spans="1:5" x14ac:dyDescent="0.25">
      <c r="A106" s="21"/>
      <c r="B106" t="s">
        <v>151</v>
      </c>
      <c r="D106" s="23"/>
      <c r="E106" s="23">
        <f t="shared" si="3"/>
        <v>0</v>
      </c>
    </row>
    <row r="107" spans="1:5" x14ac:dyDescent="0.25">
      <c r="A107" s="21">
        <v>44635</v>
      </c>
      <c r="B107" t="s">
        <v>161</v>
      </c>
      <c r="C107" s="22">
        <v>40</v>
      </c>
      <c r="D107" s="23">
        <v>24000</v>
      </c>
      <c r="E107" s="23">
        <f t="shared" si="3"/>
        <v>960000</v>
      </c>
    </row>
    <row r="108" spans="1:5" x14ac:dyDescent="0.25">
      <c r="A108" s="21">
        <v>44635</v>
      </c>
      <c r="B108" t="s">
        <v>158</v>
      </c>
      <c r="C108" s="22">
        <v>30</v>
      </c>
      <c r="D108" s="23">
        <v>45000</v>
      </c>
      <c r="E108" s="23">
        <f t="shared" si="3"/>
        <v>1350000</v>
      </c>
    </row>
    <row r="109" spans="1:5" x14ac:dyDescent="0.25">
      <c r="A109" s="21">
        <v>44636</v>
      </c>
      <c r="B109" t="s">
        <v>162</v>
      </c>
      <c r="C109" s="22">
        <v>22</v>
      </c>
      <c r="D109" s="23">
        <v>23000</v>
      </c>
      <c r="E109" s="23">
        <f t="shared" si="3"/>
        <v>506000</v>
      </c>
    </row>
    <row r="110" spans="1:5" x14ac:dyDescent="0.25">
      <c r="A110" s="21">
        <v>44637</v>
      </c>
      <c r="B110" t="s">
        <v>161</v>
      </c>
      <c r="C110" s="22">
        <v>36</v>
      </c>
      <c r="D110" s="23">
        <v>24000</v>
      </c>
      <c r="E110" s="23">
        <f t="shared" si="3"/>
        <v>864000</v>
      </c>
    </row>
    <row r="111" spans="1:5" x14ac:dyDescent="0.25">
      <c r="A111" s="21">
        <v>44637</v>
      </c>
      <c r="B111" t="s">
        <v>140</v>
      </c>
      <c r="C111" s="22">
        <v>70</v>
      </c>
      <c r="D111" s="23">
        <v>32000</v>
      </c>
      <c r="E111" s="23">
        <f t="shared" si="3"/>
        <v>2240000</v>
      </c>
    </row>
    <row r="112" spans="1:5" x14ac:dyDescent="0.25">
      <c r="A112" s="21">
        <v>44638</v>
      </c>
      <c r="B112" t="s">
        <v>161</v>
      </c>
      <c r="C112" s="22">
        <v>36</v>
      </c>
      <c r="D112" s="23">
        <v>24000</v>
      </c>
      <c r="E112" s="23">
        <f t="shared" si="3"/>
        <v>864000</v>
      </c>
    </row>
    <row r="113" spans="1:7" x14ac:dyDescent="0.25">
      <c r="A113" s="21">
        <v>44638</v>
      </c>
      <c r="B113" t="s">
        <v>158</v>
      </c>
      <c r="C113" s="22">
        <v>8</v>
      </c>
      <c r="D113" s="23">
        <v>45000</v>
      </c>
      <c r="E113" s="23">
        <f t="shared" si="3"/>
        <v>360000</v>
      </c>
    </row>
    <row r="114" spans="1:7" x14ac:dyDescent="0.25">
      <c r="A114" s="21">
        <v>44639</v>
      </c>
      <c r="B114" t="s">
        <v>143</v>
      </c>
      <c r="C114" s="22">
        <v>84</v>
      </c>
      <c r="D114" s="23">
        <v>42000</v>
      </c>
      <c r="E114" s="23">
        <f t="shared" si="3"/>
        <v>3528000</v>
      </c>
    </row>
    <row r="115" spans="1:7" x14ac:dyDescent="0.25">
      <c r="A115" s="21">
        <v>44640</v>
      </c>
      <c r="B115" t="s">
        <v>143</v>
      </c>
      <c r="C115" s="22">
        <v>78</v>
      </c>
      <c r="D115" s="23">
        <v>42000</v>
      </c>
      <c r="E115" s="23">
        <f t="shared" si="3"/>
        <v>3276000</v>
      </c>
    </row>
    <row r="116" spans="1:7" x14ac:dyDescent="0.25">
      <c r="A116" s="21">
        <v>44640</v>
      </c>
      <c r="B116" t="s">
        <v>135</v>
      </c>
      <c r="C116" s="22">
        <v>20</v>
      </c>
      <c r="D116" s="23">
        <v>24000</v>
      </c>
      <c r="E116" s="23">
        <f t="shared" si="3"/>
        <v>480000</v>
      </c>
    </row>
    <row r="117" spans="1:7" x14ac:dyDescent="0.25">
      <c r="B117" t="s">
        <v>151</v>
      </c>
    </row>
    <row r="118" spans="1:7" x14ac:dyDescent="0.25">
      <c r="A118" s="43">
        <v>44642</v>
      </c>
      <c r="B118" t="s">
        <v>163</v>
      </c>
      <c r="C118" s="22">
        <v>84</v>
      </c>
      <c r="D118" s="20">
        <v>29000</v>
      </c>
      <c r="E118" s="23">
        <f t="shared" ref="E118:E131" si="4">C118*D118</f>
        <v>2436000</v>
      </c>
    </row>
    <row r="119" spans="1:7" x14ac:dyDescent="0.25">
      <c r="A119" s="43">
        <v>44643</v>
      </c>
      <c r="B119" t="s">
        <v>161</v>
      </c>
      <c r="C119" s="22">
        <v>16</v>
      </c>
      <c r="D119" s="20">
        <v>24000</v>
      </c>
      <c r="E119" s="23">
        <f t="shared" si="4"/>
        <v>384000</v>
      </c>
    </row>
    <row r="120" spans="1:7" x14ac:dyDescent="0.25">
      <c r="A120" s="43">
        <v>44643</v>
      </c>
      <c r="B120" t="s">
        <v>163</v>
      </c>
      <c r="C120" s="22">
        <v>28</v>
      </c>
      <c r="D120" s="20">
        <v>29000</v>
      </c>
      <c r="E120" s="23">
        <f t="shared" si="4"/>
        <v>812000</v>
      </c>
    </row>
    <row r="121" spans="1:7" x14ac:dyDescent="0.25">
      <c r="A121" s="43">
        <v>44644</v>
      </c>
      <c r="B121" t="s">
        <v>143</v>
      </c>
      <c r="C121" s="22">
        <v>44</v>
      </c>
      <c r="D121" s="20">
        <v>42000</v>
      </c>
      <c r="E121" s="23">
        <f t="shared" si="4"/>
        <v>1848000</v>
      </c>
    </row>
    <row r="122" spans="1:7" x14ac:dyDescent="0.25">
      <c r="A122" s="43">
        <v>44645</v>
      </c>
      <c r="B122" t="s">
        <v>143</v>
      </c>
      <c r="C122" s="22">
        <v>124</v>
      </c>
      <c r="D122" s="20">
        <v>42000</v>
      </c>
      <c r="E122" s="23">
        <f t="shared" si="4"/>
        <v>5208000</v>
      </c>
    </row>
    <row r="123" spans="1:7" x14ac:dyDescent="0.25">
      <c r="A123" s="43">
        <v>44645</v>
      </c>
      <c r="B123" t="s">
        <v>164</v>
      </c>
      <c r="C123" s="22">
        <v>32</v>
      </c>
      <c r="D123" s="20">
        <v>22000</v>
      </c>
      <c r="E123" s="23">
        <f t="shared" si="4"/>
        <v>704000</v>
      </c>
    </row>
    <row r="124" spans="1:7" x14ac:dyDescent="0.25">
      <c r="A124" s="43">
        <v>44647</v>
      </c>
      <c r="B124" t="s">
        <v>143</v>
      </c>
      <c r="C124" s="22">
        <v>136</v>
      </c>
      <c r="D124" s="20">
        <v>42000</v>
      </c>
      <c r="E124" s="67">
        <f t="shared" si="4"/>
        <v>5712000</v>
      </c>
    </row>
    <row r="125" spans="1:7" x14ac:dyDescent="0.25">
      <c r="A125" s="43"/>
      <c r="B125" t="s">
        <v>151</v>
      </c>
      <c r="E125" s="67">
        <f t="shared" si="4"/>
        <v>0</v>
      </c>
    </row>
    <row r="126" spans="1:7" x14ac:dyDescent="0.25">
      <c r="A126" s="43">
        <v>44649</v>
      </c>
      <c r="B126" t="s">
        <v>166</v>
      </c>
      <c r="C126" s="22">
        <v>60</v>
      </c>
      <c r="D126" s="20">
        <v>28000</v>
      </c>
      <c r="E126" s="23">
        <f t="shared" si="4"/>
        <v>1680000</v>
      </c>
      <c r="G126" s="27"/>
    </row>
    <row r="127" spans="1:7" x14ac:dyDescent="0.25">
      <c r="A127" s="43">
        <v>44651</v>
      </c>
      <c r="B127" t="s">
        <v>143</v>
      </c>
      <c r="C127" s="22">
        <v>106</v>
      </c>
      <c r="D127" s="20">
        <v>42000</v>
      </c>
      <c r="E127" s="67">
        <f t="shared" si="4"/>
        <v>4452000</v>
      </c>
    </row>
    <row r="128" spans="1:7" x14ac:dyDescent="0.25">
      <c r="A128" s="43">
        <v>44652</v>
      </c>
      <c r="B128" t="s">
        <v>143</v>
      </c>
      <c r="C128" s="22">
        <v>56</v>
      </c>
      <c r="D128" s="20">
        <v>42000</v>
      </c>
      <c r="E128" s="67">
        <f t="shared" si="4"/>
        <v>2352000</v>
      </c>
    </row>
    <row r="129" spans="1:7" x14ac:dyDescent="0.25">
      <c r="A129" s="43">
        <v>44653</v>
      </c>
      <c r="B129" t="s">
        <v>167</v>
      </c>
      <c r="C129" s="22">
        <v>40</v>
      </c>
      <c r="D129" s="20">
        <v>32000</v>
      </c>
      <c r="E129" s="67">
        <f t="shared" si="4"/>
        <v>1280000</v>
      </c>
    </row>
    <row r="130" spans="1:7" x14ac:dyDescent="0.25">
      <c r="A130" s="43">
        <v>44654</v>
      </c>
      <c r="B130" t="s">
        <v>168</v>
      </c>
      <c r="C130" s="22">
        <v>40</v>
      </c>
      <c r="D130" s="20">
        <v>28000</v>
      </c>
      <c r="E130" s="20">
        <f t="shared" si="4"/>
        <v>1120000</v>
      </c>
      <c r="G130" s="27"/>
    </row>
    <row r="131" spans="1:7" x14ac:dyDescent="0.25">
      <c r="A131" s="43">
        <v>44654</v>
      </c>
      <c r="B131" t="s">
        <v>167</v>
      </c>
      <c r="C131" s="22">
        <v>22</v>
      </c>
      <c r="D131" s="20">
        <v>32000</v>
      </c>
      <c r="E131" s="20">
        <f t="shared" si="4"/>
        <v>704000</v>
      </c>
      <c r="G131" s="17"/>
    </row>
    <row r="199" spans="5:7" x14ac:dyDescent="0.25">
      <c r="E199" s="23">
        <f>SUM(E3:E198)</f>
        <v>287112500</v>
      </c>
      <c r="G199" s="27">
        <f>SUM(G3:G198)</f>
        <v>256463500</v>
      </c>
    </row>
    <row r="200" spans="5:7" x14ac:dyDescent="0.25">
      <c r="E200" s="23"/>
      <c r="G200" s="27"/>
    </row>
  </sheetData>
  <mergeCells count="5">
    <mergeCell ref="A1:E1"/>
    <mergeCell ref="F1:G1"/>
    <mergeCell ref="I3:J3"/>
    <mergeCell ref="I15:J15"/>
    <mergeCell ref="I5:J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F08F-B048-FA4D-88EA-07EC584749D1}">
  <dimension ref="A2:H197"/>
  <sheetViews>
    <sheetView zoomScaleNormal="100" zoomScaleSheetLayoutView="100" workbookViewId="0">
      <selection activeCell="C9" sqref="C9"/>
    </sheetView>
  </sheetViews>
  <sheetFormatPr defaultRowHeight="15" x14ac:dyDescent="0.25"/>
  <cols>
    <col min="1" max="1" width="18.28515625" customWidth="1"/>
    <col min="2" max="4" width="8" customWidth="1"/>
    <col min="5" max="5" width="11.42578125" bestFit="1" customWidth="1"/>
    <col min="6" max="6" width="14" style="1" customWidth="1"/>
    <col min="7" max="7" width="12.140625" customWidth="1"/>
    <col min="8" max="8" width="16.140625" customWidth="1"/>
  </cols>
  <sheetData>
    <row r="2" spans="1:8" x14ac:dyDescent="0.25">
      <c r="A2" t="s">
        <v>1</v>
      </c>
      <c r="B2" t="s">
        <v>153</v>
      </c>
      <c r="C2" t="s">
        <v>154</v>
      </c>
      <c r="D2" t="s">
        <v>155</v>
      </c>
      <c r="E2" t="s">
        <v>3</v>
      </c>
      <c r="F2" s="1" t="s">
        <v>4</v>
      </c>
    </row>
    <row r="3" spans="1:8" x14ac:dyDescent="0.25">
      <c r="G3" s="8" t="s">
        <v>20</v>
      </c>
      <c r="H3" s="9">
        <f>'2021 Хисобот 3'!I3</f>
        <v>30649000</v>
      </c>
    </row>
    <row r="4" spans="1:8" x14ac:dyDescent="0.25">
      <c r="A4" t="s">
        <v>152</v>
      </c>
      <c r="B4" s="93">
        <f>'2021 Хисобот 3'!C96+'2021 Хисобот 3'!C99+'2021 Хисобот 3'!C100+'2021 Хисобот 3'!C102+'2021 Хисобот 3'!C103</f>
        <v>430</v>
      </c>
      <c r="C4" s="93">
        <f>ост.охири!B27</f>
        <v>0</v>
      </c>
      <c r="D4" s="93">
        <f>B4-C4</f>
        <v>430</v>
      </c>
      <c r="E4" s="7">
        <v>3000</v>
      </c>
      <c r="F4" s="1">
        <f t="shared" ref="F4:F29" si="0">B4*E4</f>
        <v>1290000</v>
      </c>
    </row>
    <row r="5" spans="1:8" x14ac:dyDescent="0.25">
      <c r="A5" t="s">
        <v>149</v>
      </c>
      <c r="B5" s="93">
        <v>34</v>
      </c>
      <c r="C5" s="93">
        <f>ост.охири!B5</f>
        <v>18</v>
      </c>
      <c r="D5" s="93">
        <f>B5-C5</f>
        <v>16</v>
      </c>
      <c r="E5" s="7">
        <v>3000</v>
      </c>
      <c r="F5" s="1">
        <f t="shared" si="0"/>
        <v>102000</v>
      </c>
      <c r="G5" s="10" t="s">
        <v>21</v>
      </c>
      <c r="H5" s="11">
        <f>F30</f>
        <v>2190000</v>
      </c>
    </row>
    <row r="6" spans="1:8" x14ac:dyDescent="0.25">
      <c r="A6" t="s">
        <v>145</v>
      </c>
      <c r="B6" s="93"/>
      <c r="C6" s="93"/>
      <c r="D6" s="93">
        <f>B6-C6</f>
        <v>0</v>
      </c>
      <c r="E6" s="7">
        <v>3000</v>
      </c>
      <c r="F6" s="1">
        <f t="shared" si="0"/>
        <v>0</v>
      </c>
    </row>
    <row r="7" spans="1:8" x14ac:dyDescent="0.25">
      <c r="A7" t="s">
        <v>150</v>
      </c>
      <c r="B7" s="93">
        <v>118</v>
      </c>
      <c r="C7" s="93">
        <v>92</v>
      </c>
      <c r="D7" s="93">
        <f>B7-C7</f>
        <v>26</v>
      </c>
      <c r="E7">
        <v>3000</v>
      </c>
      <c r="F7" s="1">
        <f t="shared" si="0"/>
        <v>354000</v>
      </c>
    </row>
    <row r="8" spans="1:8" x14ac:dyDescent="0.25">
      <c r="A8" t="s">
        <v>156</v>
      </c>
      <c r="B8" s="93">
        <f>22+'2021 Хисобот 3'!C97+'2021 Хисобот 3'!C98+'2021 Хисобот 3'!C101</f>
        <v>148</v>
      </c>
      <c r="C8" s="93">
        <f>ост.охири!B25</f>
        <v>0</v>
      </c>
      <c r="D8" s="93">
        <f>B8-C8</f>
        <v>148</v>
      </c>
      <c r="E8">
        <v>3000</v>
      </c>
      <c r="F8" s="1">
        <f t="shared" si="0"/>
        <v>444000</v>
      </c>
      <c r="G8" s="12" t="s">
        <v>22</v>
      </c>
      <c r="H8" s="13">
        <f>H3-H5</f>
        <v>28459000</v>
      </c>
    </row>
    <row r="9" spans="1:8" x14ac:dyDescent="0.25">
      <c r="A9" t="s">
        <v>18</v>
      </c>
      <c r="B9" s="93"/>
      <c r="C9" s="93"/>
      <c r="D9" s="93"/>
      <c r="F9" s="1">
        <f t="shared" si="0"/>
        <v>0</v>
      </c>
    </row>
    <row r="10" spans="1:8" x14ac:dyDescent="0.25">
      <c r="A10" t="s">
        <v>19</v>
      </c>
      <c r="B10" s="93"/>
      <c r="C10" s="93"/>
      <c r="D10" s="93"/>
      <c r="F10" s="1">
        <f t="shared" si="0"/>
        <v>0</v>
      </c>
    </row>
    <row r="11" spans="1:8" x14ac:dyDescent="0.25">
      <c r="A11" t="s">
        <v>84</v>
      </c>
      <c r="B11" s="93"/>
      <c r="C11" s="93"/>
      <c r="D11" s="93"/>
      <c r="F11" s="1">
        <f t="shared" si="0"/>
        <v>0</v>
      </c>
    </row>
    <row r="12" spans="1:8" x14ac:dyDescent="0.25">
      <c r="A12" t="s">
        <v>150</v>
      </c>
      <c r="B12" s="93"/>
      <c r="C12" s="93"/>
      <c r="D12" s="93"/>
      <c r="F12" s="1">
        <f t="shared" si="0"/>
        <v>0</v>
      </c>
    </row>
    <row r="13" spans="1:8" x14ac:dyDescent="0.25">
      <c r="A13" t="s">
        <v>70</v>
      </c>
      <c r="B13" s="93"/>
      <c r="C13" s="93"/>
      <c r="D13" s="93"/>
      <c r="F13" s="1">
        <f t="shared" si="0"/>
        <v>0</v>
      </c>
    </row>
    <row r="14" spans="1:8" x14ac:dyDescent="0.25">
      <c r="A14" t="s">
        <v>146</v>
      </c>
      <c r="B14" s="93"/>
      <c r="C14" s="93"/>
      <c r="D14" s="93"/>
      <c r="F14" s="1">
        <f t="shared" si="0"/>
        <v>0</v>
      </c>
    </row>
    <row r="15" spans="1:8" x14ac:dyDescent="0.25">
      <c r="A15" t="s">
        <v>122</v>
      </c>
      <c r="B15" s="93"/>
      <c r="C15" s="93"/>
      <c r="D15" s="93"/>
      <c r="F15" s="1">
        <f t="shared" si="0"/>
        <v>0</v>
      </c>
    </row>
    <row r="16" spans="1:8" x14ac:dyDescent="0.25">
      <c r="A16" t="s">
        <v>126</v>
      </c>
      <c r="B16" s="93"/>
      <c r="C16" s="93"/>
      <c r="D16" s="93"/>
      <c r="F16" s="1">
        <f t="shared" si="0"/>
        <v>0</v>
      </c>
    </row>
    <row r="17" spans="1:8" x14ac:dyDescent="0.25">
      <c r="A17" t="s">
        <v>96</v>
      </c>
      <c r="B17" s="93"/>
      <c r="C17" s="93"/>
      <c r="D17" s="93"/>
      <c r="F17" s="1">
        <f t="shared" si="0"/>
        <v>0</v>
      </c>
    </row>
    <row r="18" spans="1:8" x14ac:dyDescent="0.25">
      <c r="A18" t="s">
        <v>127</v>
      </c>
      <c r="B18" s="93"/>
      <c r="C18" s="93"/>
      <c r="D18" s="93"/>
      <c r="F18" s="1">
        <f t="shared" si="0"/>
        <v>0</v>
      </c>
    </row>
    <row r="19" spans="1:8" x14ac:dyDescent="0.25">
      <c r="A19" t="s">
        <v>128</v>
      </c>
      <c r="B19" s="93"/>
      <c r="C19" s="93"/>
      <c r="D19" s="93"/>
      <c r="F19" s="1">
        <f t="shared" si="0"/>
        <v>0</v>
      </c>
      <c r="G19" s="58"/>
      <c r="H19" s="57"/>
    </row>
    <row r="20" spans="1:8" x14ac:dyDescent="0.25">
      <c r="A20" t="s">
        <v>112</v>
      </c>
      <c r="B20" s="93"/>
      <c r="C20" s="93"/>
      <c r="D20" s="93"/>
      <c r="E20" s="1"/>
      <c r="F20" s="1">
        <f t="shared" si="0"/>
        <v>0</v>
      </c>
    </row>
    <row r="21" spans="1:8" x14ac:dyDescent="0.25">
      <c r="A21" t="s">
        <v>137</v>
      </c>
      <c r="B21" s="93"/>
      <c r="C21" s="93"/>
      <c r="D21" s="93"/>
      <c r="F21" s="1">
        <f t="shared" si="0"/>
        <v>0</v>
      </c>
      <c r="G21" s="1"/>
    </row>
    <row r="22" spans="1:8" x14ac:dyDescent="0.25">
      <c r="A22" t="s">
        <v>136</v>
      </c>
      <c r="B22" s="93"/>
      <c r="C22" s="93"/>
      <c r="D22" s="93"/>
      <c r="F22" s="1">
        <f t="shared" si="0"/>
        <v>0</v>
      </c>
      <c r="G22" s="1"/>
    </row>
    <row r="23" spans="1:8" x14ac:dyDescent="0.25">
      <c r="A23" t="s">
        <v>133</v>
      </c>
      <c r="B23" s="93"/>
      <c r="C23" s="93"/>
      <c r="D23" s="93"/>
      <c r="F23" s="1">
        <f t="shared" si="0"/>
        <v>0</v>
      </c>
      <c r="G23" s="1"/>
    </row>
    <row r="24" spans="1:8" x14ac:dyDescent="0.25">
      <c r="A24" t="s">
        <v>8</v>
      </c>
      <c r="B24" s="93"/>
      <c r="C24" s="93"/>
      <c r="D24" s="93"/>
      <c r="F24" s="1">
        <f t="shared" si="0"/>
        <v>0</v>
      </c>
      <c r="G24" s="1"/>
    </row>
    <row r="25" spans="1:8" x14ac:dyDescent="0.25">
      <c r="A25" t="s">
        <v>138</v>
      </c>
      <c r="B25" s="93"/>
      <c r="C25" s="93"/>
      <c r="D25" s="93"/>
      <c r="F25" s="1">
        <f t="shared" si="0"/>
        <v>0</v>
      </c>
      <c r="G25" s="1"/>
    </row>
    <row r="26" spans="1:8" x14ac:dyDescent="0.25">
      <c r="A26" t="s">
        <v>144</v>
      </c>
      <c r="B26" s="93"/>
      <c r="C26" s="93"/>
      <c r="D26" s="93"/>
      <c r="F26" s="1">
        <f t="shared" si="0"/>
        <v>0</v>
      </c>
      <c r="G26" s="1"/>
    </row>
    <row r="27" spans="1:8" x14ac:dyDescent="0.25">
      <c r="A27" t="s">
        <v>145</v>
      </c>
      <c r="B27" s="93"/>
      <c r="C27" s="93"/>
      <c r="D27" s="93"/>
      <c r="F27" s="1">
        <f t="shared" si="0"/>
        <v>0</v>
      </c>
      <c r="G27" s="1"/>
    </row>
    <row r="28" spans="1:8" x14ac:dyDescent="0.25">
      <c r="B28" s="93"/>
      <c r="C28" s="93"/>
      <c r="D28" s="93"/>
      <c r="F28" s="1">
        <f t="shared" si="0"/>
        <v>0</v>
      </c>
      <c r="G28" s="1"/>
    </row>
    <row r="29" spans="1:8" ht="16.5" customHeight="1" thickBot="1" x14ac:dyDescent="0.3">
      <c r="B29" s="93"/>
      <c r="C29" s="93"/>
      <c r="D29" s="93"/>
      <c r="F29" s="1">
        <f t="shared" si="0"/>
        <v>0</v>
      </c>
    </row>
    <row r="30" spans="1:8" x14ac:dyDescent="0.25">
      <c r="F30" s="13">
        <f>SUM(F3:F29)</f>
        <v>2190000</v>
      </c>
    </row>
    <row r="197" spans="6:6" x14ac:dyDescent="0.25">
      <c r="F197" s="1">
        <v>41415000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36FC-56AA-8042-8668-3B4D5247A763}">
  <sheetPr>
    <tabColor rgb="FF00B050"/>
  </sheetPr>
  <dimension ref="A1:K200"/>
  <sheetViews>
    <sheetView topLeftCell="D17" zoomScaleNormal="60" zoomScaleSheetLayoutView="100" workbookViewId="0">
      <selection activeCell="G86" sqref="G86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4" style="20" bestFit="1" customWidth="1"/>
    <col min="6" max="6" width="10.7109375" style="24" customWidth="1"/>
    <col min="7" max="7" width="14" style="25" bestFit="1" customWidth="1"/>
    <col min="9" max="9" width="13.7109375" customWidth="1"/>
    <col min="10" max="10" width="14.5703125" customWidth="1"/>
    <col min="11" max="11" width="12.28515625" bestFit="1" customWidth="1"/>
  </cols>
  <sheetData>
    <row r="1" spans="1:11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1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37" t="s">
        <v>11</v>
      </c>
      <c r="J2" s="38"/>
    </row>
    <row r="3" spans="1:11" ht="15.75" thickBot="1" x14ac:dyDescent="0.3">
      <c r="A3" s="39" t="s">
        <v>7</v>
      </c>
      <c r="B3" s="39"/>
      <c r="C3" s="40"/>
      <c r="D3" s="41"/>
      <c r="E3" s="42">
        <v>21818000</v>
      </c>
      <c r="F3" s="26">
        <v>44474</v>
      </c>
      <c r="G3" s="27">
        <v>5650000</v>
      </c>
      <c r="I3" s="118">
        <f>E199-G199</f>
        <v>20721500</v>
      </c>
      <c r="J3" s="119"/>
    </row>
    <row r="4" spans="1:11" x14ac:dyDescent="0.25">
      <c r="A4" s="21">
        <v>44474</v>
      </c>
      <c r="B4" t="s">
        <v>94</v>
      </c>
      <c r="C4" s="22">
        <v>64</v>
      </c>
      <c r="D4" s="23">
        <v>46000</v>
      </c>
      <c r="E4" s="23">
        <f t="shared" ref="E4:E35" si="0">C4*D4</f>
        <v>2944000</v>
      </c>
      <c r="F4" s="26">
        <v>44475</v>
      </c>
      <c r="G4" s="27">
        <v>5050000</v>
      </c>
    </row>
    <row r="5" spans="1:11" ht="15.75" thickBot="1" x14ac:dyDescent="0.3">
      <c r="A5" s="21">
        <v>44475</v>
      </c>
      <c r="B5" t="s">
        <v>94</v>
      </c>
      <c r="C5" s="22">
        <f>26*6+4</f>
        <v>160</v>
      </c>
      <c r="D5" s="23">
        <v>46000</v>
      </c>
      <c r="E5" s="67">
        <f t="shared" si="0"/>
        <v>7360000</v>
      </c>
      <c r="F5" s="26">
        <v>44476</v>
      </c>
      <c r="G5" s="27">
        <v>5250000</v>
      </c>
    </row>
    <row r="6" spans="1:11" ht="15.75" thickBot="1" x14ac:dyDescent="0.3">
      <c r="A6" s="21">
        <v>44476</v>
      </c>
      <c r="B6" t="s">
        <v>94</v>
      </c>
      <c r="C6" s="22">
        <v>70</v>
      </c>
      <c r="D6" s="23">
        <v>46000</v>
      </c>
      <c r="E6" s="23">
        <f t="shared" si="0"/>
        <v>3220000</v>
      </c>
      <c r="F6" s="26">
        <v>44477</v>
      </c>
      <c r="G6" s="27">
        <v>3000000</v>
      </c>
      <c r="I6" s="31" t="s">
        <v>14</v>
      </c>
      <c r="J6" s="32">
        <f>ост.охири!F5</f>
        <v>35376000</v>
      </c>
      <c r="K6" s="1"/>
    </row>
    <row r="7" spans="1:11" ht="15.75" thickBot="1" x14ac:dyDescent="0.3">
      <c r="A7" s="21">
        <v>44478</v>
      </c>
      <c r="B7" t="s">
        <v>94</v>
      </c>
      <c r="C7" s="22">
        <f>22*6+8</f>
        <v>140</v>
      </c>
      <c r="D7" s="23">
        <v>46000</v>
      </c>
      <c r="E7" s="23">
        <f t="shared" si="0"/>
        <v>6440000</v>
      </c>
      <c r="F7" s="26">
        <v>44478</v>
      </c>
      <c r="G7" s="27">
        <v>795000</v>
      </c>
    </row>
    <row r="8" spans="1:11" ht="15.75" thickBot="1" x14ac:dyDescent="0.3">
      <c r="A8" s="21">
        <v>44478</v>
      </c>
      <c r="B8" t="s">
        <v>69</v>
      </c>
      <c r="C8" s="22">
        <v>154</v>
      </c>
      <c r="D8" s="23">
        <v>41000</v>
      </c>
      <c r="E8" s="23">
        <f t="shared" si="0"/>
        <v>6314000</v>
      </c>
      <c r="F8" s="26">
        <v>44479</v>
      </c>
      <c r="G8" s="27">
        <v>9000000</v>
      </c>
      <c r="I8" s="29" t="s">
        <v>15</v>
      </c>
      <c r="J8" s="30">
        <f>I3-J6</f>
        <v>-14654500</v>
      </c>
    </row>
    <row r="9" spans="1:11" x14ac:dyDescent="0.25">
      <c r="A9" s="21">
        <v>44478</v>
      </c>
      <c r="B9" t="s">
        <v>95</v>
      </c>
      <c r="C9" s="22">
        <v>52</v>
      </c>
      <c r="D9" s="23">
        <v>42000</v>
      </c>
      <c r="E9" s="23">
        <f t="shared" si="0"/>
        <v>2184000</v>
      </c>
      <c r="F9" s="26"/>
      <c r="G9" s="27"/>
    </row>
    <row r="10" spans="1:11" ht="15.75" thickBot="1" x14ac:dyDescent="0.3">
      <c r="A10" s="43"/>
      <c r="B10" t="s">
        <v>97</v>
      </c>
      <c r="E10" s="20">
        <f t="shared" si="0"/>
        <v>0</v>
      </c>
      <c r="F10" s="26">
        <v>44481</v>
      </c>
      <c r="G10" s="27">
        <f>6988000+2680000</f>
        <v>9668000</v>
      </c>
    </row>
    <row r="11" spans="1:11" ht="15.75" thickBot="1" x14ac:dyDescent="0.3">
      <c r="A11" s="21">
        <v>44480</v>
      </c>
      <c r="B11" t="s">
        <v>94</v>
      </c>
      <c r="C11" s="22">
        <v>26</v>
      </c>
      <c r="D11" s="23">
        <v>46000</v>
      </c>
      <c r="E11" s="23">
        <f t="shared" si="0"/>
        <v>1196000</v>
      </c>
      <c r="F11" s="26">
        <v>44482</v>
      </c>
      <c r="G11" s="27">
        <v>4700000</v>
      </c>
      <c r="I11" s="54" t="s">
        <v>66</v>
      </c>
      <c r="J11" s="55"/>
    </row>
    <row r="12" spans="1:11" x14ac:dyDescent="0.25">
      <c r="A12" s="21">
        <v>44480</v>
      </c>
      <c r="B12" t="s">
        <v>95</v>
      </c>
      <c r="C12" s="22">
        <v>126</v>
      </c>
      <c r="D12" s="23">
        <v>42000</v>
      </c>
      <c r="E12" s="23">
        <f t="shared" si="0"/>
        <v>5292000</v>
      </c>
      <c r="F12" s="26">
        <v>44483</v>
      </c>
      <c r="G12" s="27">
        <v>1260000</v>
      </c>
    </row>
    <row r="13" spans="1:11" x14ac:dyDescent="0.25">
      <c r="A13" s="21">
        <v>44480</v>
      </c>
      <c r="B13" t="s">
        <v>98</v>
      </c>
      <c r="C13" s="22">
        <v>12</v>
      </c>
      <c r="D13" s="23">
        <v>38000</v>
      </c>
      <c r="E13" s="23">
        <f t="shared" si="0"/>
        <v>456000</v>
      </c>
      <c r="F13" s="26">
        <v>44484</v>
      </c>
      <c r="G13" s="27">
        <v>1700000</v>
      </c>
    </row>
    <row r="14" spans="1:11" ht="15.75" thickBot="1" x14ac:dyDescent="0.3">
      <c r="A14" s="21">
        <v>44481</v>
      </c>
      <c r="B14" t="s">
        <v>98</v>
      </c>
      <c r="C14" s="22">
        <v>56</v>
      </c>
      <c r="D14" s="23">
        <v>46000</v>
      </c>
      <c r="E14" s="23">
        <f t="shared" si="0"/>
        <v>2576000</v>
      </c>
      <c r="F14" s="26">
        <v>44485</v>
      </c>
      <c r="G14" s="27">
        <v>2200000</v>
      </c>
    </row>
    <row r="15" spans="1:11" x14ac:dyDescent="0.25">
      <c r="A15" s="21">
        <v>44481</v>
      </c>
      <c r="B15" t="s">
        <v>95</v>
      </c>
      <c r="C15" s="22">
        <v>38</v>
      </c>
      <c r="D15" s="23">
        <v>42000</v>
      </c>
      <c r="E15" s="23">
        <f t="shared" si="0"/>
        <v>1596000</v>
      </c>
      <c r="F15" s="26">
        <v>44486</v>
      </c>
      <c r="G15" s="27">
        <v>4036000</v>
      </c>
      <c r="I15" s="114" t="s">
        <v>104</v>
      </c>
      <c r="J15" s="115"/>
    </row>
    <row r="16" spans="1:11" ht="15.75" thickBot="1" x14ac:dyDescent="0.3">
      <c r="A16" s="21">
        <v>44481</v>
      </c>
      <c r="B16" t="s">
        <v>69</v>
      </c>
      <c r="C16" s="22">
        <v>2</v>
      </c>
      <c r="D16" s="23">
        <v>41000</v>
      </c>
      <c r="E16" s="23">
        <f t="shared" si="0"/>
        <v>82000</v>
      </c>
      <c r="F16" s="26"/>
      <c r="G16" s="27"/>
      <c r="I16" s="80" t="s">
        <v>105</v>
      </c>
      <c r="J16" s="81">
        <f>J8-2500000</f>
        <v>-17154500</v>
      </c>
    </row>
    <row r="17" spans="1:7" x14ac:dyDescent="0.25">
      <c r="A17" s="21">
        <v>44483</v>
      </c>
      <c r="B17" t="s">
        <v>69</v>
      </c>
      <c r="C17" s="22">
        <v>100</v>
      </c>
      <c r="D17" s="23">
        <v>41000</v>
      </c>
      <c r="E17" s="23">
        <f t="shared" si="0"/>
        <v>4100000</v>
      </c>
      <c r="F17" s="26">
        <v>44488</v>
      </c>
      <c r="G17" s="27">
        <v>9180000</v>
      </c>
    </row>
    <row r="18" spans="1:7" x14ac:dyDescent="0.25">
      <c r="A18" s="21">
        <v>44484</v>
      </c>
      <c r="B18" t="s">
        <v>69</v>
      </c>
      <c r="C18" s="22">
        <v>106</v>
      </c>
      <c r="D18" s="23">
        <v>41000</v>
      </c>
      <c r="E18" s="23">
        <f t="shared" si="0"/>
        <v>4346000</v>
      </c>
      <c r="F18" s="26">
        <v>44489</v>
      </c>
      <c r="G18" s="27">
        <v>2950000</v>
      </c>
    </row>
    <row r="19" spans="1:7" x14ac:dyDescent="0.25">
      <c r="A19" s="21">
        <v>44484</v>
      </c>
      <c r="B19" t="s">
        <v>95</v>
      </c>
      <c r="C19" s="22">
        <f>17*6+4</f>
        <v>106</v>
      </c>
      <c r="D19" s="23">
        <v>42000</v>
      </c>
      <c r="E19" s="23">
        <f t="shared" si="0"/>
        <v>4452000</v>
      </c>
      <c r="F19" s="45">
        <v>44490</v>
      </c>
      <c r="G19" s="25">
        <v>2575000</v>
      </c>
    </row>
    <row r="20" spans="1:7" x14ac:dyDescent="0.25">
      <c r="A20" s="43">
        <v>44485</v>
      </c>
      <c r="B20" t="s">
        <v>95</v>
      </c>
      <c r="C20" s="22">
        <v>214</v>
      </c>
      <c r="D20" s="20">
        <v>42000</v>
      </c>
      <c r="E20" s="67">
        <f t="shared" si="0"/>
        <v>8988000</v>
      </c>
      <c r="F20" s="26">
        <v>44491</v>
      </c>
      <c r="G20" s="27">
        <v>1080000</v>
      </c>
    </row>
    <row r="21" spans="1:7" x14ac:dyDescent="0.25">
      <c r="A21" s="21">
        <v>44485</v>
      </c>
      <c r="B21" t="s">
        <v>94</v>
      </c>
      <c r="C21" s="22">
        <v>20</v>
      </c>
      <c r="D21" s="23">
        <v>46000</v>
      </c>
      <c r="E21" s="23">
        <f t="shared" si="0"/>
        <v>920000</v>
      </c>
      <c r="F21" s="26">
        <v>44492</v>
      </c>
      <c r="G21" s="27">
        <v>300000</v>
      </c>
    </row>
    <row r="22" spans="1:7" x14ac:dyDescent="0.25">
      <c r="A22" s="21"/>
      <c r="B22" t="s">
        <v>85</v>
      </c>
      <c r="D22" s="23"/>
      <c r="E22" s="23">
        <f t="shared" si="0"/>
        <v>0</v>
      </c>
      <c r="F22" s="26">
        <v>44493</v>
      </c>
      <c r="G22" s="27">
        <v>2550000</v>
      </c>
    </row>
    <row r="23" spans="1:7" x14ac:dyDescent="0.25">
      <c r="A23" s="21">
        <v>44487</v>
      </c>
      <c r="B23" t="s">
        <v>94</v>
      </c>
      <c r="C23" s="22">
        <f>32+42</f>
        <v>74</v>
      </c>
      <c r="D23" s="23">
        <v>46000</v>
      </c>
      <c r="E23" s="23">
        <f t="shared" si="0"/>
        <v>3404000</v>
      </c>
      <c r="F23" s="26"/>
      <c r="G23" s="27"/>
    </row>
    <row r="24" spans="1:7" x14ac:dyDescent="0.25">
      <c r="A24" s="21">
        <v>44488</v>
      </c>
      <c r="B24" t="s">
        <v>94</v>
      </c>
      <c r="C24" s="22">
        <v>44</v>
      </c>
      <c r="D24" s="23">
        <v>46000</v>
      </c>
      <c r="E24" s="23">
        <f t="shared" si="0"/>
        <v>2024000</v>
      </c>
      <c r="F24" s="26">
        <v>44495</v>
      </c>
      <c r="G24" s="27">
        <v>3200000</v>
      </c>
    </row>
    <row r="25" spans="1:7" x14ac:dyDescent="0.25">
      <c r="A25" s="21">
        <v>44489</v>
      </c>
      <c r="B25" t="s">
        <v>94</v>
      </c>
      <c r="C25" s="22">
        <v>100</v>
      </c>
      <c r="D25" s="23">
        <v>46000</v>
      </c>
      <c r="E25" s="23">
        <f t="shared" si="0"/>
        <v>4600000</v>
      </c>
      <c r="F25" s="26">
        <v>44496</v>
      </c>
      <c r="G25" s="27">
        <v>6800000</v>
      </c>
    </row>
    <row r="26" spans="1:7" x14ac:dyDescent="0.25">
      <c r="A26" s="21">
        <v>44490</v>
      </c>
      <c r="B26" t="s">
        <v>94</v>
      </c>
      <c r="C26" s="22">
        <v>44</v>
      </c>
      <c r="D26" s="23">
        <v>46000</v>
      </c>
      <c r="E26" s="23">
        <f t="shared" si="0"/>
        <v>2024000</v>
      </c>
      <c r="F26" s="26">
        <v>44497</v>
      </c>
      <c r="G26" s="27">
        <v>1915000</v>
      </c>
    </row>
    <row r="27" spans="1:7" x14ac:dyDescent="0.25">
      <c r="A27" s="21">
        <v>44491</v>
      </c>
      <c r="B27" t="s">
        <v>94</v>
      </c>
      <c r="C27" s="22">
        <v>48</v>
      </c>
      <c r="D27" s="23">
        <v>46000</v>
      </c>
      <c r="E27" s="23">
        <f t="shared" si="0"/>
        <v>2208000</v>
      </c>
      <c r="F27" s="26">
        <v>44498</v>
      </c>
      <c r="G27" s="27">
        <v>3200000</v>
      </c>
    </row>
    <row r="28" spans="1:7" x14ac:dyDescent="0.25">
      <c r="A28" s="21">
        <v>44492</v>
      </c>
      <c r="B28" t="s">
        <v>94</v>
      </c>
      <c r="C28" s="22">
        <v>100</v>
      </c>
      <c r="D28" s="23">
        <v>46000</v>
      </c>
      <c r="E28" s="23">
        <f t="shared" si="0"/>
        <v>4600000</v>
      </c>
      <c r="F28" s="45">
        <v>44499</v>
      </c>
      <c r="G28" s="25">
        <v>1747000</v>
      </c>
    </row>
    <row r="29" spans="1:7" x14ac:dyDescent="0.25">
      <c r="A29" s="21"/>
      <c r="B29" t="s">
        <v>85</v>
      </c>
      <c r="D29" s="23"/>
      <c r="E29" s="23">
        <f t="shared" si="0"/>
        <v>0</v>
      </c>
      <c r="F29" s="26">
        <v>44500</v>
      </c>
      <c r="G29" s="27">
        <v>4000000</v>
      </c>
    </row>
    <row r="30" spans="1:7" x14ac:dyDescent="0.25">
      <c r="A30" s="21">
        <v>44495</v>
      </c>
      <c r="B30" t="s">
        <v>95</v>
      </c>
      <c r="C30" s="22">
        <v>120</v>
      </c>
      <c r="D30" s="23">
        <v>42000</v>
      </c>
      <c r="E30" s="23">
        <f t="shared" si="0"/>
        <v>5040000</v>
      </c>
      <c r="F30" s="26"/>
      <c r="G30" s="27"/>
    </row>
    <row r="31" spans="1:7" x14ac:dyDescent="0.25">
      <c r="A31" s="21">
        <v>44495</v>
      </c>
      <c r="B31" t="s">
        <v>99</v>
      </c>
      <c r="C31" s="22">
        <v>40</v>
      </c>
      <c r="D31" s="23">
        <v>45000</v>
      </c>
      <c r="E31" s="23">
        <f t="shared" si="0"/>
        <v>1800000</v>
      </c>
      <c r="F31" s="26">
        <v>44502</v>
      </c>
      <c r="G31" s="27">
        <v>2790000</v>
      </c>
    </row>
    <row r="32" spans="1:7" x14ac:dyDescent="0.25">
      <c r="A32" s="43">
        <v>44496</v>
      </c>
      <c r="B32" t="s">
        <v>100</v>
      </c>
      <c r="C32" s="22">
        <v>4</v>
      </c>
      <c r="D32" s="20">
        <v>75000</v>
      </c>
      <c r="E32" s="44">
        <f t="shared" si="0"/>
        <v>300000</v>
      </c>
      <c r="F32" s="26">
        <v>44503</v>
      </c>
      <c r="G32" s="27">
        <v>1650000</v>
      </c>
    </row>
    <row r="33" spans="1:7" x14ac:dyDescent="0.25">
      <c r="A33" s="21">
        <v>44497</v>
      </c>
      <c r="B33" t="s">
        <v>100</v>
      </c>
      <c r="C33" s="22">
        <v>36</v>
      </c>
      <c r="D33" s="23">
        <v>75000</v>
      </c>
      <c r="E33" s="23">
        <f t="shared" si="0"/>
        <v>2700000</v>
      </c>
      <c r="F33" s="26">
        <v>44504</v>
      </c>
      <c r="G33" s="27">
        <v>700000</v>
      </c>
    </row>
    <row r="34" spans="1:7" x14ac:dyDescent="0.25">
      <c r="A34" s="21">
        <v>44497</v>
      </c>
      <c r="B34" t="s">
        <v>101</v>
      </c>
      <c r="C34" s="22">
        <v>3</v>
      </c>
      <c r="D34" s="23">
        <v>75000</v>
      </c>
      <c r="E34" s="23">
        <f t="shared" si="0"/>
        <v>225000</v>
      </c>
      <c r="F34" s="26">
        <v>44505</v>
      </c>
      <c r="G34" s="27">
        <v>2430000</v>
      </c>
    </row>
    <row r="35" spans="1:7" x14ac:dyDescent="0.25">
      <c r="A35" s="21">
        <v>44498</v>
      </c>
      <c r="B35" t="s">
        <v>101</v>
      </c>
      <c r="C35" s="22">
        <v>35</v>
      </c>
      <c r="D35" s="23">
        <v>75000</v>
      </c>
      <c r="E35" s="23">
        <f t="shared" si="0"/>
        <v>2625000</v>
      </c>
      <c r="F35" s="26">
        <v>44506</v>
      </c>
      <c r="G35" s="27">
        <v>165000</v>
      </c>
    </row>
    <row r="36" spans="1:7" x14ac:dyDescent="0.25">
      <c r="A36" s="21">
        <v>44499</v>
      </c>
      <c r="B36" t="s">
        <v>100</v>
      </c>
      <c r="C36" s="22">
        <v>19</v>
      </c>
      <c r="D36" s="23">
        <v>75000</v>
      </c>
      <c r="E36" s="23">
        <f t="shared" ref="E36:E67" si="1">C36*D36</f>
        <v>1425000</v>
      </c>
      <c r="F36" s="26">
        <v>44507</v>
      </c>
      <c r="G36" s="27">
        <v>2805000</v>
      </c>
    </row>
    <row r="37" spans="1:7" x14ac:dyDescent="0.25">
      <c r="A37" s="21"/>
      <c r="B37" t="s">
        <v>85</v>
      </c>
      <c r="D37" s="23"/>
      <c r="E37" s="23">
        <f t="shared" si="1"/>
        <v>0</v>
      </c>
      <c r="F37" s="26"/>
      <c r="G37" s="27"/>
    </row>
    <row r="38" spans="1:7" x14ac:dyDescent="0.25">
      <c r="A38" s="21">
        <v>44501</v>
      </c>
      <c r="B38" t="s">
        <v>100</v>
      </c>
      <c r="C38" s="22">
        <v>23</v>
      </c>
      <c r="D38" s="23">
        <v>75000</v>
      </c>
      <c r="E38" s="23">
        <f t="shared" si="1"/>
        <v>1725000</v>
      </c>
      <c r="F38" s="26">
        <v>44509</v>
      </c>
      <c r="G38" s="27">
        <v>3000000</v>
      </c>
    </row>
    <row r="39" spans="1:7" x14ac:dyDescent="0.25">
      <c r="A39" s="21">
        <v>44503</v>
      </c>
      <c r="B39" t="s">
        <v>100</v>
      </c>
      <c r="C39" s="22">
        <v>36</v>
      </c>
      <c r="D39" s="23">
        <v>75000</v>
      </c>
      <c r="E39" s="23">
        <f t="shared" si="1"/>
        <v>2700000</v>
      </c>
      <c r="F39" s="26">
        <v>44510</v>
      </c>
      <c r="G39" s="27">
        <v>170000</v>
      </c>
    </row>
    <row r="40" spans="1:7" x14ac:dyDescent="0.25">
      <c r="A40" s="21">
        <v>44503</v>
      </c>
      <c r="B40" t="s">
        <v>101</v>
      </c>
      <c r="C40" s="22">
        <v>6</v>
      </c>
      <c r="D40" s="23">
        <v>75000</v>
      </c>
      <c r="E40" s="23">
        <f t="shared" si="1"/>
        <v>450000</v>
      </c>
      <c r="F40" s="26">
        <v>44511</v>
      </c>
      <c r="G40" s="27">
        <v>3300000</v>
      </c>
    </row>
    <row r="41" spans="1:7" x14ac:dyDescent="0.25">
      <c r="A41" s="21">
        <v>44506</v>
      </c>
      <c r="B41" t="s">
        <v>102</v>
      </c>
      <c r="C41" s="22">
        <v>24</v>
      </c>
      <c r="D41" s="23">
        <v>55000</v>
      </c>
      <c r="E41" s="23">
        <f t="shared" si="1"/>
        <v>1320000</v>
      </c>
      <c r="F41" s="45">
        <v>44512</v>
      </c>
      <c r="G41" s="17">
        <v>4000000</v>
      </c>
    </row>
    <row r="42" spans="1:7" x14ac:dyDescent="0.25">
      <c r="A42" s="21">
        <v>44506</v>
      </c>
      <c r="B42" t="s">
        <v>100</v>
      </c>
      <c r="C42" s="22">
        <v>5</v>
      </c>
      <c r="D42" s="23">
        <v>75000</v>
      </c>
      <c r="E42" s="23">
        <f t="shared" si="1"/>
        <v>375000</v>
      </c>
      <c r="F42" s="26">
        <v>44513</v>
      </c>
      <c r="G42" s="27">
        <v>180000</v>
      </c>
    </row>
    <row r="43" spans="1:7" x14ac:dyDescent="0.25">
      <c r="A43" s="21"/>
      <c r="B43" t="s">
        <v>85</v>
      </c>
      <c r="D43" s="23"/>
      <c r="E43" s="23">
        <f t="shared" si="1"/>
        <v>0</v>
      </c>
      <c r="F43" s="26">
        <v>44514</v>
      </c>
      <c r="G43" s="27">
        <v>4450000</v>
      </c>
    </row>
    <row r="44" spans="1:7" x14ac:dyDescent="0.25">
      <c r="A44" s="21">
        <v>44510</v>
      </c>
      <c r="B44" t="s">
        <v>100</v>
      </c>
      <c r="C44" s="22">
        <v>3</v>
      </c>
      <c r="D44" s="23">
        <v>75000</v>
      </c>
      <c r="E44" s="23">
        <f t="shared" si="1"/>
        <v>225000</v>
      </c>
      <c r="F44" s="26"/>
      <c r="G44" s="27"/>
    </row>
    <row r="45" spans="1:7" x14ac:dyDescent="0.25">
      <c r="A45" s="21">
        <v>44510</v>
      </c>
      <c r="B45" t="s">
        <v>103</v>
      </c>
      <c r="C45" s="22">
        <v>27</v>
      </c>
      <c r="D45" s="23">
        <v>100000</v>
      </c>
      <c r="E45" s="23">
        <f t="shared" si="1"/>
        <v>2700000</v>
      </c>
      <c r="F45" s="26">
        <v>44516</v>
      </c>
      <c r="G45" s="27">
        <v>4625000</v>
      </c>
    </row>
    <row r="46" spans="1:7" x14ac:dyDescent="0.25">
      <c r="A46" s="21">
        <v>44511</v>
      </c>
      <c r="B46" t="s">
        <v>103</v>
      </c>
      <c r="C46" s="22">
        <v>36</v>
      </c>
      <c r="D46" s="23">
        <v>100000</v>
      </c>
      <c r="E46" s="23">
        <f t="shared" si="1"/>
        <v>3600000</v>
      </c>
      <c r="F46" s="26">
        <v>44517</v>
      </c>
      <c r="G46" s="27">
        <v>3010000</v>
      </c>
    </row>
    <row r="47" spans="1:7" x14ac:dyDescent="0.25">
      <c r="A47" s="21">
        <v>44513</v>
      </c>
      <c r="B47" t="s">
        <v>103</v>
      </c>
      <c r="C47" s="22">
        <v>47</v>
      </c>
      <c r="D47" s="23">
        <v>100000</v>
      </c>
      <c r="E47" s="23">
        <f t="shared" si="1"/>
        <v>4700000</v>
      </c>
      <c r="F47" s="26">
        <v>44518</v>
      </c>
      <c r="G47" s="27">
        <v>1025000</v>
      </c>
    </row>
    <row r="48" spans="1:7" x14ac:dyDescent="0.25">
      <c r="A48" s="21">
        <v>44513</v>
      </c>
      <c r="B48" t="s">
        <v>100</v>
      </c>
      <c r="C48" s="22">
        <v>5</v>
      </c>
      <c r="D48" s="23">
        <v>75000</v>
      </c>
      <c r="E48" s="23">
        <f t="shared" si="1"/>
        <v>375000</v>
      </c>
      <c r="F48" s="26">
        <v>44519</v>
      </c>
      <c r="G48" s="27">
        <v>1850000</v>
      </c>
    </row>
    <row r="49" spans="1:7" x14ac:dyDescent="0.25">
      <c r="A49" s="21"/>
      <c r="B49" t="s">
        <v>85</v>
      </c>
      <c r="D49" s="23"/>
      <c r="E49" s="23">
        <f t="shared" si="1"/>
        <v>0</v>
      </c>
      <c r="F49" s="45">
        <v>44520</v>
      </c>
      <c r="G49" s="17">
        <v>150000</v>
      </c>
    </row>
    <row r="50" spans="1:7" x14ac:dyDescent="0.25">
      <c r="A50" s="21">
        <v>44515</v>
      </c>
      <c r="B50" t="s">
        <v>100</v>
      </c>
      <c r="C50" s="22">
        <v>21</v>
      </c>
      <c r="D50" s="23">
        <v>75000</v>
      </c>
      <c r="E50" s="23">
        <f t="shared" si="1"/>
        <v>1575000</v>
      </c>
      <c r="F50" s="26">
        <v>44521</v>
      </c>
      <c r="G50" s="27">
        <v>1040000</v>
      </c>
    </row>
    <row r="51" spans="1:7" x14ac:dyDescent="0.25">
      <c r="A51" s="21">
        <v>44515</v>
      </c>
      <c r="B51" t="s">
        <v>103</v>
      </c>
      <c r="C51" s="22">
        <v>13</v>
      </c>
      <c r="D51" s="23">
        <v>100000</v>
      </c>
      <c r="E51" s="23">
        <f t="shared" si="1"/>
        <v>1300000</v>
      </c>
      <c r="F51" s="26"/>
      <c r="G51" s="27"/>
    </row>
    <row r="52" spans="1:7" x14ac:dyDescent="0.25">
      <c r="A52" s="43">
        <v>44516</v>
      </c>
      <c r="B52" t="s">
        <v>100</v>
      </c>
      <c r="C52" s="22">
        <v>42</v>
      </c>
      <c r="D52" s="20">
        <v>75000</v>
      </c>
      <c r="E52" s="23">
        <f t="shared" si="1"/>
        <v>3150000</v>
      </c>
      <c r="F52" s="26">
        <v>44523</v>
      </c>
      <c r="G52" s="27">
        <v>375000</v>
      </c>
    </row>
    <row r="53" spans="1:7" x14ac:dyDescent="0.25">
      <c r="A53" s="21">
        <v>44517</v>
      </c>
      <c r="B53" t="s">
        <v>100</v>
      </c>
      <c r="C53" s="22">
        <v>8</v>
      </c>
      <c r="D53" s="23">
        <v>75000</v>
      </c>
      <c r="E53" s="23">
        <f t="shared" si="1"/>
        <v>600000</v>
      </c>
      <c r="F53" s="26">
        <v>44524</v>
      </c>
      <c r="G53" s="27">
        <v>100000</v>
      </c>
    </row>
    <row r="54" spans="1:7" x14ac:dyDescent="0.25">
      <c r="A54" s="21">
        <v>44518</v>
      </c>
      <c r="B54" t="s">
        <v>103</v>
      </c>
      <c r="C54" s="22">
        <v>59</v>
      </c>
      <c r="D54" s="23">
        <v>100000</v>
      </c>
      <c r="E54" s="23">
        <f t="shared" si="1"/>
        <v>5900000</v>
      </c>
      <c r="F54" s="26">
        <v>44525</v>
      </c>
      <c r="G54" s="27">
        <v>1900000</v>
      </c>
    </row>
    <row r="55" spans="1:7" x14ac:dyDescent="0.25">
      <c r="A55" s="21">
        <v>44520</v>
      </c>
      <c r="B55" t="s">
        <v>100</v>
      </c>
      <c r="C55" s="22">
        <v>33</v>
      </c>
      <c r="D55" s="23">
        <v>75000</v>
      </c>
      <c r="E55" s="23">
        <f t="shared" si="1"/>
        <v>2475000</v>
      </c>
      <c r="F55" s="26">
        <v>44526</v>
      </c>
      <c r="G55" s="27">
        <v>400000</v>
      </c>
    </row>
    <row r="56" spans="1:7" x14ac:dyDescent="0.25">
      <c r="A56" s="21"/>
      <c r="B56" t="s">
        <v>85</v>
      </c>
      <c r="D56" s="23"/>
      <c r="E56" s="23">
        <f t="shared" si="1"/>
        <v>0</v>
      </c>
      <c r="F56" s="26">
        <v>44527</v>
      </c>
      <c r="G56" s="27">
        <v>315000</v>
      </c>
    </row>
    <row r="57" spans="1:7" x14ac:dyDescent="0.25">
      <c r="A57" s="21">
        <v>44522</v>
      </c>
      <c r="B57" t="s">
        <v>100</v>
      </c>
      <c r="C57" s="22">
        <v>29</v>
      </c>
      <c r="D57" s="23">
        <v>75000</v>
      </c>
      <c r="E57" s="23">
        <f t="shared" si="1"/>
        <v>2175000</v>
      </c>
      <c r="F57" s="45">
        <v>44528</v>
      </c>
      <c r="G57" s="17">
        <v>4320000</v>
      </c>
    </row>
    <row r="58" spans="1:7" x14ac:dyDescent="0.25">
      <c r="A58" s="21">
        <v>44524</v>
      </c>
      <c r="B58" t="s">
        <v>106</v>
      </c>
      <c r="C58" s="22">
        <v>50</v>
      </c>
      <c r="D58" s="23">
        <v>22000</v>
      </c>
      <c r="E58" s="23">
        <f t="shared" si="1"/>
        <v>1100000</v>
      </c>
      <c r="F58" s="26"/>
      <c r="G58" s="27"/>
    </row>
    <row r="59" spans="1:7" x14ac:dyDescent="0.25">
      <c r="A59" s="21">
        <v>44527</v>
      </c>
      <c r="B59" t="s">
        <v>107</v>
      </c>
      <c r="C59" s="22">
        <v>100</v>
      </c>
      <c r="D59" s="23">
        <v>65000</v>
      </c>
      <c r="E59" s="23">
        <f t="shared" si="1"/>
        <v>6500000</v>
      </c>
      <c r="F59" s="26">
        <v>44530</v>
      </c>
      <c r="G59" s="27">
        <v>5000000</v>
      </c>
    </row>
    <row r="60" spans="1:7" x14ac:dyDescent="0.25">
      <c r="A60" s="21">
        <v>44527</v>
      </c>
      <c r="B60" t="s">
        <v>108</v>
      </c>
      <c r="C60" s="22">
        <v>30</v>
      </c>
      <c r="D60" s="23">
        <v>32500</v>
      </c>
      <c r="E60" s="23">
        <f t="shared" si="1"/>
        <v>975000</v>
      </c>
      <c r="F60" s="26">
        <v>44531</v>
      </c>
      <c r="G60" s="27">
        <v>470000</v>
      </c>
    </row>
    <row r="61" spans="1:7" x14ac:dyDescent="0.25">
      <c r="A61" s="21">
        <v>44527</v>
      </c>
      <c r="B61" t="s">
        <v>109</v>
      </c>
      <c r="C61" s="22">
        <v>54</v>
      </c>
      <c r="D61" s="23">
        <v>34500</v>
      </c>
      <c r="E61" s="23">
        <f t="shared" si="1"/>
        <v>1863000</v>
      </c>
      <c r="F61" s="26">
        <v>44532</v>
      </c>
      <c r="G61" s="27">
        <v>2800000</v>
      </c>
    </row>
    <row r="62" spans="1:7" x14ac:dyDescent="0.25">
      <c r="A62" s="21"/>
      <c r="B62" t="s">
        <v>85</v>
      </c>
      <c r="D62" s="23"/>
      <c r="E62" s="23">
        <f t="shared" si="1"/>
        <v>0</v>
      </c>
      <c r="F62" s="26">
        <v>44533</v>
      </c>
      <c r="G62" s="27">
        <v>850000</v>
      </c>
    </row>
    <row r="63" spans="1:7" x14ac:dyDescent="0.25">
      <c r="A63" s="21">
        <v>44529</v>
      </c>
      <c r="B63" t="s">
        <v>109</v>
      </c>
      <c r="C63" s="22">
        <v>38</v>
      </c>
      <c r="D63" s="23">
        <v>34500</v>
      </c>
      <c r="E63" s="23">
        <f t="shared" si="1"/>
        <v>1311000</v>
      </c>
      <c r="F63" s="26">
        <v>44534</v>
      </c>
      <c r="G63" s="27">
        <v>450000</v>
      </c>
    </row>
    <row r="64" spans="1:7" x14ac:dyDescent="0.25">
      <c r="A64" s="43">
        <v>44529</v>
      </c>
      <c r="B64" t="s">
        <v>108</v>
      </c>
      <c r="C64" s="22">
        <v>130</v>
      </c>
      <c r="D64" s="20">
        <v>32500</v>
      </c>
      <c r="E64" s="67">
        <f t="shared" si="1"/>
        <v>4225000</v>
      </c>
      <c r="F64" s="45">
        <v>44535</v>
      </c>
      <c r="G64" s="17">
        <v>2466000</v>
      </c>
    </row>
    <row r="65" spans="1:7" x14ac:dyDescent="0.25">
      <c r="A65" s="21">
        <v>44530</v>
      </c>
      <c r="B65" t="s">
        <v>109</v>
      </c>
      <c r="C65" s="22">
        <v>60</v>
      </c>
      <c r="D65" s="23">
        <v>34500</v>
      </c>
      <c r="E65" s="23">
        <f t="shared" si="1"/>
        <v>2070000</v>
      </c>
      <c r="F65" s="26"/>
      <c r="G65" s="27"/>
    </row>
    <row r="66" spans="1:7" x14ac:dyDescent="0.25">
      <c r="A66" s="21">
        <v>44530</v>
      </c>
      <c r="B66" t="s">
        <v>108</v>
      </c>
      <c r="C66" s="22">
        <v>12</v>
      </c>
      <c r="D66" s="23">
        <v>32500</v>
      </c>
      <c r="E66" s="23">
        <f t="shared" si="1"/>
        <v>390000</v>
      </c>
      <c r="F66" s="26">
        <v>44538</v>
      </c>
      <c r="G66" s="27">
        <v>700000</v>
      </c>
    </row>
    <row r="67" spans="1:7" x14ac:dyDescent="0.25">
      <c r="A67" s="43">
        <v>44531</v>
      </c>
      <c r="B67" t="s">
        <v>108</v>
      </c>
      <c r="C67" s="22">
        <v>76</v>
      </c>
      <c r="D67" s="20">
        <v>32500</v>
      </c>
      <c r="E67" s="20">
        <f t="shared" si="1"/>
        <v>2470000</v>
      </c>
      <c r="F67" s="26">
        <v>44539</v>
      </c>
      <c r="G67" s="27">
        <v>3000000</v>
      </c>
    </row>
    <row r="68" spans="1:7" x14ac:dyDescent="0.25">
      <c r="A68" s="21">
        <v>44532</v>
      </c>
      <c r="B68" t="s">
        <v>109</v>
      </c>
      <c r="C68" s="22">
        <v>8</v>
      </c>
      <c r="D68" s="23">
        <v>34500</v>
      </c>
      <c r="E68" s="23">
        <f t="shared" ref="E68:E99" si="2">C68*D68</f>
        <v>276000</v>
      </c>
      <c r="F68" s="26">
        <v>44540</v>
      </c>
      <c r="G68" s="27">
        <v>945000</v>
      </c>
    </row>
    <row r="69" spans="1:7" x14ac:dyDescent="0.25">
      <c r="A69" s="21">
        <v>44532</v>
      </c>
      <c r="B69" t="s">
        <v>108</v>
      </c>
      <c r="C69" s="22">
        <v>136</v>
      </c>
      <c r="D69" s="23">
        <v>32500</v>
      </c>
      <c r="E69" s="23">
        <f t="shared" si="2"/>
        <v>4420000</v>
      </c>
      <c r="F69" s="26">
        <v>44541</v>
      </c>
      <c r="G69" s="27">
        <v>150000</v>
      </c>
    </row>
    <row r="70" spans="1:7" x14ac:dyDescent="0.25">
      <c r="A70" s="21">
        <v>44534</v>
      </c>
      <c r="B70" t="s">
        <v>109</v>
      </c>
      <c r="C70" s="22">
        <v>100</v>
      </c>
      <c r="D70" s="23">
        <v>34500</v>
      </c>
      <c r="E70" s="23">
        <f t="shared" si="2"/>
        <v>3450000</v>
      </c>
      <c r="F70" s="26">
        <v>44542</v>
      </c>
      <c r="G70" s="27">
        <v>1164500</v>
      </c>
    </row>
    <row r="71" spans="1:7" x14ac:dyDescent="0.25">
      <c r="A71" s="21"/>
      <c r="B71" t="s">
        <v>85</v>
      </c>
      <c r="D71" s="23"/>
      <c r="E71" s="23">
        <f t="shared" si="2"/>
        <v>0</v>
      </c>
      <c r="F71" s="26"/>
      <c r="G71" s="27"/>
    </row>
    <row r="72" spans="1:7" x14ac:dyDescent="0.25">
      <c r="A72" s="82">
        <v>44536</v>
      </c>
      <c r="B72" s="50" t="s">
        <v>109</v>
      </c>
      <c r="C72" s="83">
        <v>26</v>
      </c>
      <c r="D72" s="84">
        <v>34500</v>
      </c>
      <c r="E72" s="84">
        <f t="shared" si="2"/>
        <v>897000</v>
      </c>
      <c r="F72" s="45">
        <v>44544</v>
      </c>
      <c r="G72" s="25">
        <v>4600000</v>
      </c>
    </row>
    <row r="73" spans="1:7" x14ac:dyDescent="0.25">
      <c r="A73" s="21">
        <v>44537</v>
      </c>
      <c r="B73" t="s">
        <v>110</v>
      </c>
      <c r="C73" s="22">
        <v>41</v>
      </c>
      <c r="D73" s="23">
        <v>40000</v>
      </c>
      <c r="E73" s="23">
        <f t="shared" si="2"/>
        <v>1640000</v>
      </c>
      <c r="F73" s="26">
        <v>44545</v>
      </c>
      <c r="G73" s="27">
        <v>400000</v>
      </c>
    </row>
    <row r="74" spans="1:7" x14ac:dyDescent="0.25">
      <c r="A74" s="43">
        <v>44538</v>
      </c>
      <c r="B74" t="s">
        <v>110</v>
      </c>
      <c r="C74" s="22">
        <v>39</v>
      </c>
      <c r="D74" s="20">
        <v>40000</v>
      </c>
      <c r="E74" s="20">
        <f t="shared" si="2"/>
        <v>1560000</v>
      </c>
      <c r="F74" s="26">
        <v>44546</v>
      </c>
      <c r="G74" s="27">
        <f>1105000+333000</f>
        <v>1438000</v>
      </c>
    </row>
    <row r="75" spans="1:7" x14ac:dyDescent="0.25">
      <c r="A75" s="21">
        <v>44539</v>
      </c>
      <c r="B75" t="s">
        <v>110</v>
      </c>
      <c r="C75" s="22">
        <v>69</v>
      </c>
      <c r="D75" s="23">
        <v>40000</v>
      </c>
      <c r="E75" s="23">
        <f t="shared" si="2"/>
        <v>2760000</v>
      </c>
      <c r="F75" s="26">
        <v>44547</v>
      </c>
      <c r="G75" s="27">
        <v>390000</v>
      </c>
    </row>
    <row r="76" spans="1:7" x14ac:dyDescent="0.25">
      <c r="A76" s="21">
        <v>44540</v>
      </c>
      <c r="B76" t="s">
        <v>67</v>
      </c>
      <c r="C76" s="22">
        <v>30</v>
      </c>
      <c r="D76" s="23">
        <v>33000</v>
      </c>
      <c r="E76" s="23">
        <f t="shared" si="2"/>
        <v>990000</v>
      </c>
      <c r="F76" s="26">
        <v>44548</v>
      </c>
      <c r="G76" s="27">
        <v>960000</v>
      </c>
    </row>
    <row r="77" spans="1:7" x14ac:dyDescent="0.25">
      <c r="A77" s="21">
        <v>44540</v>
      </c>
      <c r="B77" t="s">
        <v>87</v>
      </c>
      <c r="C77" s="22">
        <v>22</v>
      </c>
      <c r="D77" s="23">
        <v>34000</v>
      </c>
      <c r="E77" s="23">
        <f t="shared" si="2"/>
        <v>748000</v>
      </c>
      <c r="F77" s="26">
        <v>44549</v>
      </c>
      <c r="G77" s="27">
        <f>506000+1078000</f>
        <v>1584000</v>
      </c>
    </row>
    <row r="78" spans="1:7" x14ac:dyDescent="0.25">
      <c r="A78" s="21">
        <v>44540</v>
      </c>
      <c r="B78" t="s">
        <v>84</v>
      </c>
      <c r="C78" s="22">
        <v>4</v>
      </c>
      <c r="D78" s="23">
        <v>33500</v>
      </c>
      <c r="E78" s="23">
        <f t="shared" si="2"/>
        <v>134000</v>
      </c>
      <c r="F78" s="26"/>
      <c r="G78" s="27"/>
    </row>
    <row r="79" spans="1:7" x14ac:dyDescent="0.25">
      <c r="A79" s="43">
        <v>44540</v>
      </c>
      <c r="B79" t="s">
        <v>111</v>
      </c>
      <c r="C79" s="22">
        <v>6</v>
      </c>
      <c r="D79" s="20">
        <v>33500</v>
      </c>
      <c r="E79" s="20">
        <f t="shared" si="2"/>
        <v>201000</v>
      </c>
      <c r="F79" s="26" t="s">
        <v>119</v>
      </c>
      <c r="G79" s="27">
        <v>5939000</v>
      </c>
    </row>
    <row r="80" spans="1:7" x14ac:dyDescent="0.25">
      <c r="A80" s="21"/>
      <c r="D80" s="23"/>
      <c r="E80" s="23">
        <f t="shared" si="2"/>
        <v>0</v>
      </c>
    </row>
    <row r="81" spans="1:7" x14ac:dyDescent="0.25">
      <c r="A81" s="21"/>
      <c r="D81" s="23"/>
      <c r="E81" s="23">
        <f t="shared" si="2"/>
        <v>0</v>
      </c>
      <c r="F81" s="26"/>
    </row>
    <row r="82" spans="1:7" x14ac:dyDescent="0.25">
      <c r="A82" s="21"/>
      <c r="D82" s="23"/>
      <c r="E82" s="23"/>
      <c r="F82" s="26"/>
      <c r="G82" s="27"/>
    </row>
    <row r="83" spans="1:7" x14ac:dyDescent="0.25">
      <c r="A83" s="21"/>
      <c r="D83" s="23"/>
      <c r="E83" s="23">
        <f t="shared" ref="E83:E111" si="3">C83*D83</f>
        <v>0</v>
      </c>
      <c r="F83" s="45"/>
    </row>
    <row r="84" spans="1:7" x14ac:dyDescent="0.25">
      <c r="A84" s="21"/>
      <c r="D84" s="23"/>
      <c r="E84" s="23">
        <f t="shared" si="3"/>
        <v>0</v>
      </c>
      <c r="F84" s="45"/>
    </row>
    <row r="85" spans="1:7" x14ac:dyDescent="0.25">
      <c r="A85" s="21"/>
      <c r="D85" s="23"/>
      <c r="E85" s="23">
        <f t="shared" si="3"/>
        <v>0</v>
      </c>
      <c r="F85" s="45"/>
    </row>
    <row r="86" spans="1:7" x14ac:dyDescent="0.25">
      <c r="A86" s="21"/>
      <c r="D86" s="23"/>
      <c r="E86" s="23">
        <f t="shared" si="3"/>
        <v>0</v>
      </c>
    </row>
    <row r="87" spans="1:7" x14ac:dyDescent="0.25">
      <c r="A87" s="21"/>
      <c r="D87" s="23"/>
      <c r="E87" s="23">
        <f t="shared" si="3"/>
        <v>0</v>
      </c>
    </row>
    <row r="88" spans="1:7" x14ac:dyDescent="0.25">
      <c r="A88" s="21"/>
      <c r="D88" s="23"/>
      <c r="E88" s="23">
        <f t="shared" si="3"/>
        <v>0</v>
      </c>
    </row>
    <row r="89" spans="1:7" x14ac:dyDescent="0.25">
      <c r="A89" s="21"/>
      <c r="D89" s="23"/>
      <c r="E89" s="23">
        <f t="shared" si="3"/>
        <v>0</v>
      </c>
    </row>
    <row r="90" spans="1:7" x14ac:dyDescent="0.25">
      <c r="A90" s="43"/>
      <c r="E90" s="20">
        <f t="shared" si="3"/>
        <v>0</v>
      </c>
    </row>
    <row r="91" spans="1:7" x14ac:dyDescent="0.25">
      <c r="A91" s="21"/>
      <c r="D91" s="23"/>
      <c r="E91" s="23">
        <f t="shared" si="3"/>
        <v>0</v>
      </c>
    </row>
    <row r="92" spans="1:7" x14ac:dyDescent="0.25">
      <c r="A92" s="21"/>
      <c r="D92" s="23"/>
      <c r="E92" s="23">
        <f t="shared" si="3"/>
        <v>0</v>
      </c>
    </row>
    <row r="93" spans="1:7" x14ac:dyDescent="0.25">
      <c r="A93" s="21"/>
      <c r="D93" s="23"/>
      <c r="E93" s="23">
        <f t="shared" si="3"/>
        <v>0</v>
      </c>
    </row>
    <row r="94" spans="1:7" x14ac:dyDescent="0.25">
      <c r="A94" s="21"/>
      <c r="D94" s="23"/>
      <c r="E94" s="23">
        <f t="shared" si="3"/>
        <v>0</v>
      </c>
    </row>
    <row r="95" spans="1:7" x14ac:dyDescent="0.25">
      <c r="A95" s="21"/>
      <c r="D95" s="23"/>
      <c r="E95" s="23">
        <f t="shared" si="3"/>
        <v>0</v>
      </c>
    </row>
    <row r="96" spans="1:7" x14ac:dyDescent="0.25">
      <c r="A96" s="21"/>
      <c r="D96" s="23"/>
      <c r="E96" s="23">
        <f t="shared" si="3"/>
        <v>0</v>
      </c>
    </row>
    <row r="97" spans="1:5" x14ac:dyDescent="0.25">
      <c r="A97" s="21"/>
      <c r="D97" s="23"/>
      <c r="E97" s="23">
        <f t="shared" si="3"/>
        <v>0</v>
      </c>
    </row>
    <row r="98" spans="1:5" x14ac:dyDescent="0.25">
      <c r="A98" s="21"/>
      <c r="D98" s="23"/>
      <c r="E98" s="23">
        <f t="shared" si="3"/>
        <v>0</v>
      </c>
    </row>
    <row r="99" spans="1:5" x14ac:dyDescent="0.25">
      <c r="A99" s="21"/>
      <c r="D99" s="23"/>
      <c r="E99" s="23">
        <f t="shared" si="3"/>
        <v>0</v>
      </c>
    </row>
    <row r="100" spans="1:5" x14ac:dyDescent="0.25">
      <c r="A100" s="21"/>
      <c r="D100" s="23"/>
      <c r="E100" s="23">
        <f t="shared" si="3"/>
        <v>0</v>
      </c>
    </row>
    <row r="101" spans="1:5" x14ac:dyDescent="0.25">
      <c r="A101" s="21"/>
      <c r="D101" s="23"/>
      <c r="E101" s="23">
        <f t="shared" si="3"/>
        <v>0</v>
      </c>
    </row>
    <row r="102" spans="1:5" x14ac:dyDescent="0.25">
      <c r="A102" s="21"/>
      <c r="D102" s="23"/>
      <c r="E102" s="23">
        <f t="shared" si="3"/>
        <v>0</v>
      </c>
    </row>
    <row r="103" spans="1:5" x14ac:dyDescent="0.25">
      <c r="A103" s="43"/>
      <c r="E103" s="20">
        <f t="shared" si="3"/>
        <v>0</v>
      </c>
    </row>
    <row r="104" spans="1:5" x14ac:dyDescent="0.25">
      <c r="A104" s="21"/>
      <c r="D104" s="23"/>
      <c r="E104" s="23">
        <f t="shared" si="3"/>
        <v>0</v>
      </c>
    </row>
    <row r="105" spans="1:5" x14ac:dyDescent="0.25">
      <c r="A105" s="21"/>
      <c r="D105" s="23"/>
      <c r="E105" s="23">
        <f t="shared" si="3"/>
        <v>0</v>
      </c>
    </row>
    <row r="106" spans="1:5" x14ac:dyDescent="0.25">
      <c r="A106" s="21"/>
      <c r="D106" s="23"/>
      <c r="E106" s="23">
        <f t="shared" si="3"/>
        <v>0</v>
      </c>
    </row>
    <row r="107" spans="1:5" x14ac:dyDescent="0.25">
      <c r="A107" s="21"/>
      <c r="D107" s="23"/>
      <c r="E107" s="23">
        <f t="shared" si="3"/>
        <v>0</v>
      </c>
    </row>
    <row r="108" spans="1:5" x14ac:dyDescent="0.25">
      <c r="A108" s="21"/>
      <c r="D108" s="23"/>
      <c r="E108" s="23">
        <f t="shared" si="3"/>
        <v>0</v>
      </c>
    </row>
    <row r="109" spans="1:5" x14ac:dyDescent="0.25">
      <c r="A109" s="21"/>
      <c r="D109" s="23"/>
      <c r="E109" s="23">
        <f t="shared" si="3"/>
        <v>0</v>
      </c>
    </row>
    <row r="110" spans="1:5" x14ac:dyDescent="0.25">
      <c r="A110" s="21"/>
      <c r="D110" s="23"/>
      <c r="E110" s="23">
        <f t="shared" si="3"/>
        <v>0</v>
      </c>
    </row>
    <row r="111" spans="1:5" x14ac:dyDescent="0.25">
      <c r="A111" s="21"/>
      <c r="D111" s="23"/>
      <c r="E111" s="23">
        <f t="shared" si="3"/>
        <v>0</v>
      </c>
    </row>
    <row r="112" spans="1:5" x14ac:dyDescent="0.25">
      <c r="A112" s="21"/>
      <c r="D112" s="23"/>
      <c r="E112" s="23"/>
    </row>
    <row r="113" spans="1:7" x14ac:dyDescent="0.25">
      <c r="A113" s="21"/>
      <c r="D113" s="23"/>
      <c r="E113" s="23">
        <f>C113*D113</f>
        <v>0</v>
      </c>
    </row>
    <row r="114" spans="1:7" x14ac:dyDescent="0.25">
      <c r="A114" s="21"/>
      <c r="D114" s="23"/>
      <c r="E114" s="23">
        <f>C114*D114</f>
        <v>0</v>
      </c>
    </row>
    <row r="115" spans="1:7" x14ac:dyDescent="0.25">
      <c r="A115" s="21"/>
      <c r="D115" s="23"/>
      <c r="E115" s="23">
        <f>C115*D115</f>
        <v>0</v>
      </c>
    </row>
    <row r="116" spans="1:7" x14ac:dyDescent="0.25">
      <c r="A116" s="21"/>
      <c r="D116" s="23"/>
      <c r="E116" s="23">
        <f>C116*D116</f>
        <v>0</v>
      </c>
    </row>
    <row r="118" spans="1:7" x14ac:dyDescent="0.25">
      <c r="A118" s="43"/>
      <c r="E118" s="23">
        <f>C118*D118</f>
        <v>0</v>
      </c>
    </row>
    <row r="119" spans="1:7" x14ac:dyDescent="0.25">
      <c r="A119" s="43"/>
      <c r="E119" s="23">
        <f>C119*D119</f>
        <v>0</v>
      </c>
    </row>
    <row r="120" spans="1:7" x14ac:dyDescent="0.25">
      <c r="A120" s="43"/>
      <c r="E120" s="23">
        <f>C120*D120</f>
        <v>0</v>
      </c>
    </row>
    <row r="121" spans="1:7" x14ac:dyDescent="0.25">
      <c r="A121" s="43"/>
      <c r="E121" s="23">
        <f>C121*D121</f>
        <v>0</v>
      </c>
    </row>
    <row r="122" spans="1:7" x14ac:dyDescent="0.25">
      <c r="A122" s="43"/>
      <c r="E122" s="23">
        <f>C122*D122</f>
        <v>0</v>
      </c>
    </row>
    <row r="123" spans="1:7" x14ac:dyDescent="0.25">
      <c r="E123" s="23"/>
    </row>
    <row r="124" spans="1:7" x14ac:dyDescent="0.25">
      <c r="A124" s="43"/>
      <c r="E124" s="67">
        <f t="shared" ref="E124:E129" si="4">C124*D124</f>
        <v>0</v>
      </c>
    </row>
    <row r="125" spans="1:7" x14ac:dyDescent="0.25">
      <c r="A125" s="43"/>
      <c r="E125" s="67">
        <f t="shared" si="4"/>
        <v>0</v>
      </c>
    </row>
    <row r="126" spans="1:7" x14ac:dyDescent="0.25">
      <c r="A126" s="43"/>
      <c r="E126" s="23">
        <f t="shared" si="4"/>
        <v>0</v>
      </c>
      <c r="G126" s="27"/>
    </row>
    <row r="127" spans="1:7" x14ac:dyDescent="0.25">
      <c r="A127" s="43"/>
      <c r="E127" s="67">
        <f t="shared" si="4"/>
        <v>0</v>
      </c>
    </row>
    <row r="128" spans="1:7" x14ac:dyDescent="0.25">
      <c r="A128" s="43"/>
      <c r="E128" s="67">
        <f t="shared" si="4"/>
        <v>0</v>
      </c>
    </row>
    <row r="129" spans="1:7" x14ac:dyDescent="0.25">
      <c r="A129" s="43"/>
      <c r="E129" s="67">
        <f t="shared" si="4"/>
        <v>0</v>
      </c>
    </row>
    <row r="130" spans="1:7" x14ac:dyDescent="0.25">
      <c r="G130" s="27"/>
    </row>
    <row r="131" spans="1:7" x14ac:dyDescent="0.25">
      <c r="G131" s="17"/>
    </row>
    <row r="199" spans="5:7" x14ac:dyDescent="0.25">
      <c r="E199" s="23">
        <f>SUM(E3:E198)</f>
        <v>190584000</v>
      </c>
      <c r="G199" s="27">
        <f>SUM(G3:G198)</f>
        <v>169862500</v>
      </c>
    </row>
    <row r="200" spans="5:7" x14ac:dyDescent="0.25">
      <c r="E200" s="23"/>
      <c r="G200" s="27"/>
    </row>
  </sheetData>
  <mergeCells count="4">
    <mergeCell ref="A1:E1"/>
    <mergeCell ref="F1:G1"/>
    <mergeCell ref="I3:J3"/>
    <mergeCell ref="I15:J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28CD-E10E-D044-9B58-07093DAAFDDA}">
  <dimension ref="A1:J200"/>
  <sheetViews>
    <sheetView topLeftCell="G1" zoomScaleNormal="60" zoomScaleSheetLayoutView="100" workbookViewId="0">
      <selection activeCell="I3" sqref="I3:J3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5" style="20" bestFit="1" customWidth="1"/>
    <col min="6" max="6" width="10.7109375" style="24" customWidth="1"/>
    <col min="7" max="7" width="14.5703125" style="25" bestFit="1" customWidth="1"/>
    <col min="9" max="9" width="13.7109375" customWidth="1"/>
    <col min="10" max="10" width="14.5703125" customWidth="1"/>
  </cols>
  <sheetData>
    <row r="1" spans="1:10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0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37" t="s">
        <v>11</v>
      </c>
      <c r="J2" s="38"/>
    </row>
    <row r="3" spans="1:10" ht="15.75" thickBot="1" x14ac:dyDescent="0.3">
      <c r="A3" s="39" t="s">
        <v>7</v>
      </c>
      <c r="B3" s="39"/>
      <c r="C3" s="40"/>
      <c r="D3" s="41"/>
      <c r="E3" s="42">
        <v>13091000</v>
      </c>
      <c r="F3" s="26">
        <v>44404</v>
      </c>
      <c r="G3" s="27">
        <v>6270000</v>
      </c>
      <c r="I3" s="118">
        <f>E199-G199</f>
        <v>21818000</v>
      </c>
      <c r="J3" s="119"/>
    </row>
    <row r="4" spans="1:10" x14ac:dyDescent="0.25">
      <c r="A4" s="21">
        <v>44404</v>
      </c>
      <c r="B4" t="s">
        <v>67</v>
      </c>
      <c r="C4" s="22">
        <v>98</v>
      </c>
      <c r="D4" s="23">
        <v>33000</v>
      </c>
      <c r="E4" s="23">
        <f t="shared" ref="E4:E35" si="0">C4*D4</f>
        <v>3234000</v>
      </c>
      <c r="F4" s="26">
        <v>44405</v>
      </c>
      <c r="G4" s="27">
        <v>3850000</v>
      </c>
    </row>
    <row r="5" spans="1:10" ht="15.75" thickBot="1" x14ac:dyDescent="0.3">
      <c r="A5" s="21">
        <v>44404</v>
      </c>
      <c r="B5" t="s">
        <v>69</v>
      </c>
      <c r="C5" s="22">
        <v>98</v>
      </c>
      <c r="D5" s="23">
        <v>33500</v>
      </c>
      <c r="E5" s="20">
        <f t="shared" si="0"/>
        <v>3283000</v>
      </c>
      <c r="F5" s="26">
        <v>44406</v>
      </c>
      <c r="G5" s="27">
        <v>7000000</v>
      </c>
    </row>
    <row r="6" spans="1:10" ht="15.75" thickBot="1" x14ac:dyDescent="0.3">
      <c r="A6" s="21">
        <v>44404</v>
      </c>
      <c r="B6" t="s">
        <v>73</v>
      </c>
      <c r="C6" s="22">
        <v>2</v>
      </c>
      <c r="D6" s="23">
        <v>33000</v>
      </c>
      <c r="E6" s="23">
        <f t="shared" si="0"/>
        <v>66000</v>
      </c>
      <c r="F6" s="26">
        <v>44407</v>
      </c>
      <c r="G6" s="27">
        <v>1335000</v>
      </c>
      <c r="I6" s="31" t="s">
        <v>14</v>
      </c>
      <c r="J6" s="32">
        <f>ост.охири!F5</f>
        <v>35376000</v>
      </c>
    </row>
    <row r="7" spans="1:10" ht="15.75" thickBot="1" x14ac:dyDescent="0.3">
      <c r="A7" s="21">
        <v>44405</v>
      </c>
      <c r="B7" t="s">
        <v>67</v>
      </c>
      <c r="C7" s="22">
        <v>22</v>
      </c>
      <c r="D7" s="23">
        <v>33000</v>
      </c>
      <c r="E7" s="23">
        <f t="shared" si="0"/>
        <v>726000</v>
      </c>
      <c r="F7" s="26">
        <v>44408</v>
      </c>
      <c r="G7" s="27">
        <v>2665000</v>
      </c>
    </row>
    <row r="8" spans="1:10" ht="15.75" thickBot="1" x14ac:dyDescent="0.3">
      <c r="A8" s="21">
        <v>44405</v>
      </c>
      <c r="B8" t="s">
        <v>8</v>
      </c>
      <c r="C8" s="22">
        <v>50</v>
      </c>
      <c r="D8" s="23">
        <v>35000</v>
      </c>
      <c r="E8" s="23">
        <f t="shared" si="0"/>
        <v>1750000</v>
      </c>
      <c r="F8" s="26">
        <v>44409</v>
      </c>
      <c r="G8" s="27">
        <v>7420000</v>
      </c>
      <c r="I8" s="29" t="s">
        <v>15</v>
      </c>
      <c r="J8" s="30">
        <f>I3-J6</f>
        <v>-13558000</v>
      </c>
    </row>
    <row r="9" spans="1:10" x14ac:dyDescent="0.25">
      <c r="A9" s="21">
        <v>44405</v>
      </c>
      <c r="B9" t="s">
        <v>69</v>
      </c>
      <c r="C9" s="22">
        <v>38</v>
      </c>
      <c r="D9" s="23">
        <v>33500</v>
      </c>
      <c r="E9" s="23">
        <f t="shared" si="0"/>
        <v>1273000</v>
      </c>
      <c r="F9" s="26"/>
      <c r="G9" s="27"/>
    </row>
    <row r="10" spans="1:10" ht="15.75" thickBot="1" x14ac:dyDescent="0.3">
      <c r="A10" s="43">
        <v>44406</v>
      </c>
      <c r="B10" t="s">
        <v>69</v>
      </c>
      <c r="C10" s="22">
        <v>180</v>
      </c>
      <c r="D10" s="20">
        <v>33500</v>
      </c>
      <c r="E10" s="20">
        <f t="shared" si="0"/>
        <v>6030000</v>
      </c>
      <c r="F10" s="26">
        <v>44411</v>
      </c>
      <c r="G10" s="27">
        <v>4350000</v>
      </c>
    </row>
    <row r="11" spans="1:10" ht="15.75" thickBot="1" x14ac:dyDescent="0.3">
      <c r="A11" s="21">
        <v>44407</v>
      </c>
      <c r="B11" t="s">
        <v>69</v>
      </c>
      <c r="C11" s="22">
        <v>20</v>
      </c>
      <c r="D11" s="23">
        <v>33500</v>
      </c>
      <c r="E11" s="23">
        <f t="shared" si="0"/>
        <v>670000</v>
      </c>
      <c r="F11" s="26">
        <v>44412</v>
      </c>
      <c r="G11" s="27">
        <v>11200000</v>
      </c>
      <c r="I11" s="54" t="s">
        <v>66</v>
      </c>
      <c r="J11" s="55"/>
    </row>
    <row r="12" spans="1:10" x14ac:dyDescent="0.25">
      <c r="A12" s="21">
        <v>44407</v>
      </c>
      <c r="B12" t="s">
        <v>67</v>
      </c>
      <c r="C12" s="22">
        <v>80</v>
      </c>
      <c r="D12" s="23">
        <v>33000</v>
      </c>
      <c r="E12" s="23">
        <f t="shared" si="0"/>
        <v>2640000</v>
      </c>
      <c r="F12" s="26">
        <v>44413</v>
      </c>
      <c r="G12" s="27">
        <v>2580000</v>
      </c>
    </row>
    <row r="13" spans="1:10" x14ac:dyDescent="0.25">
      <c r="A13" s="21">
        <v>44408</v>
      </c>
      <c r="B13" t="s">
        <v>69</v>
      </c>
      <c r="C13" s="22">
        <v>80</v>
      </c>
      <c r="D13" s="23">
        <v>33500</v>
      </c>
      <c r="E13" s="23">
        <f t="shared" si="0"/>
        <v>2680000</v>
      </c>
      <c r="F13" s="26">
        <v>44414</v>
      </c>
      <c r="G13" s="27">
        <v>1440000</v>
      </c>
    </row>
    <row r="14" spans="1:10" x14ac:dyDescent="0.25">
      <c r="A14" s="21">
        <v>44408</v>
      </c>
      <c r="B14" t="s">
        <v>67</v>
      </c>
      <c r="C14" s="22">
        <v>18</v>
      </c>
      <c r="D14" s="23">
        <v>33000</v>
      </c>
      <c r="E14" s="23">
        <f t="shared" si="0"/>
        <v>594000</v>
      </c>
      <c r="F14" s="26">
        <v>44415</v>
      </c>
      <c r="G14" s="27">
        <v>935000</v>
      </c>
    </row>
    <row r="15" spans="1:10" x14ac:dyDescent="0.25">
      <c r="A15" s="21">
        <v>44409</v>
      </c>
      <c r="B15" t="s">
        <v>67</v>
      </c>
      <c r="C15" s="22">
        <f>11*6+240</f>
        <v>306</v>
      </c>
      <c r="D15" s="23">
        <v>33000</v>
      </c>
      <c r="E15" s="23">
        <f t="shared" si="0"/>
        <v>10098000</v>
      </c>
      <c r="F15" s="26">
        <v>44416</v>
      </c>
      <c r="G15" s="27">
        <v>7121500</v>
      </c>
    </row>
    <row r="16" spans="1:10" x14ac:dyDescent="0.25">
      <c r="A16" s="21">
        <v>44409</v>
      </c>
      <c r="B16" t="s">
        <v>69</v>
      </c>
      <c r="C16" s="22">
        <f>12*6+2</f>
        <v>74</v>
      </c>
      <c r="D16" s="23">
        <v>33500</v>
      </c>
      <c r="E16" s="23">
        <f t="shared" si="0"/>
        <v>2479000</v>
      </c>
      <c r="F16" s="26"/>
      <c r="G16" s="27"/>
    </row>
    <row r="17" spans="1:7" x14ac:dyDescent="0.25">
      <c r="A17" s="21">
        <v>44409</v>
      </c>
      <c r="B17" t="s">
        <v>73</v>
      </c>
      <c r="C17" s="22">
        <f>24*6+30</f>
        <v>174</v>
      </c>
      <c r="D17" s="23">
        <v>33000</v>
      </c>
      <c r="E17" s="23">
        <f t="shared" si="0"/>
        <v>5742000</v>
      </c>
      <c r="F17" s="26">
        <v>44418</v>
      </c>
      <c r="G17" s="27">
        <v>8000000</v>
      </c>
    </row>
    <row r="18" spans="1:7" x14ac:dyDescent="0.25">
      <c r="A18" s="21"/>
      <c r="D18" s="23"/>
      <c r="E18" s="23">
        <f t="shared" si="0"/>
        <v>0</v>
      </c>
      <c r="F18" s="26">
        <v>44419</v>
      </c>
      <c r="G18" s="27">
        <v>5440000</v>
      </c>
    </row>
    <row r="19" spans="1:7" x14ac:dyDescent="0.25">
      <c r="A19" s="21">
        <v>44410</v>
      </c>
      <c r="B19" t="s">
        <v>8</v>
      </c>
      <c r="C19" s="22">
        <v>20</v>
      </c>
      <c r="D19" s="23">
        <v>35000</v>
      </c>
      <c r="E19" s="23">
        <f t="shared" si="0"/>
        <v>700000</v>
      </c>
      <c r="F19" s="45">
        <v>44420</v>
      </c>
      <c r="G19" s="25">
        <v>1825000</v>
      </c>
    </row>
    <row r="20" spans="1:7" x14ac:dyDescent="0.25">
      <c r="A20" s="43">
        <v>44410</v>
      </c>
      <c r="B20" t="s">
        <v>69</v>
      </c>
      <c r="C20" s="22">
        <v>60</v>
      </c>
      <c r="D20" s="20">
        <v>33500</v>
      </c>
      <c r="E20" s="20">
        <f t="shared" si="0"/>
        <v>2010000</v>
      </c>
      <c r="F20" s="26">
        <v>44421</v>
      </c>
      <c r="G20" s="27">
        <v>1500000</v>
      </c>
    </row>
    <row r="21" spans="1:7" x14ac:dyDescent="0.25">
      <c r="A21" s="21">
        <v>44410</v>
      </c>
      <c r="B21" t="s">
        <v>67</v>
      </c>
      <c r="C21" s="22">
        <v>4</v>
      </c>
      <c r="D21" s="23">
        <v>33000</v>
      </c>
      <c r="E21" s="23">
        <f t="shared" si="0"/>
        <v>132000</v>
      </c>
      <c r="F21" s="26">
        <v>44422</v>
      </c>
      <c r="G21" s="27">
        <v>3700000</v>
      </c>
    </row>
    <row r="22" spans="1:7" x14ac:dyDescent="0.25">
      <c r="A22" s="21">
        <v>44410</v>
      </c>
      <c r="B22" t="s">
        <v>73</v>
      </c>
      <c r="C22" s="22">
        <v>22</v>
      </c>
      <c r="D22" s="23">
        <v>33000</v>
      </c>
      <c r="E22" s="23">
        <f t="shared" si="0"/>
        <v>726000</v>
      </c>
      <c r="F22" s="26">
        <v>44423</v>
      </c>
      <c r="G22" s="27">
        <v>6049000</v>
      </c>
    </row>
    <row r="23" spans="1:7" x14ac:dyDescent="0.25">
      <c r="A23" s="21">
        <v>44411</v>
      </c>
      <c r="B23" t="s">
        <v>67</v>
      </c>
      <c r="C23" s="22">
        <v>20</v>
      </c>
      <c r="D23" s="23">
        <v>33000</v>
      </c>
      <c r="E23" s="23">
        <f t="shared" si="0"/>
        <v>660000</v>
      </c>
      <c r="F23" s="26"/>
      <c r="G23" s="27"/>
    </row>
    <row r="24" spans="1:7" x14ac:dyDescent="0.25">
      <c r="A24" s="21">
        <v>44411</v>
      </c>
      <c r="B24" t="s">
        <v>73</v>
      </c>
      <c r="C24" s="22">
        <v>4</v>
      </c>
      <c r="D24" s="23">
        <v>33000</v>
      </c>
      <c r="E24" s="23">
        <f t="shared" si="0"/>
        <v>132000</v>
      </c>
      <c r="F24" s="26">
        <v>44425</v>
      </c>
      <c r="G24" s="27">
        <v>3500000</v>
      </c>
    </row>
    <row r="25" spans="1:7" x14ac:dyDescent="0.25">
      <c r="A25" s="21">
        <v>44412</v>
      </c>
      <c r="B25" t="s">
        <v>8</v>
      </c>
      <c r="C25" s="22">
        <f>20*6+4</f>
        <v>124</v>
      </c>
      <c r="D25" s="23">
        <v>35000</v>
      </c>
      <c r="E25" s="23">
        <f t="shared" si="0"/>
        <v>4340000</v>
      </c>
      <c r="F25" s="26">
        <v>44426</v>
      </c>
      <c r="G25" s="27">
        <v>2405000</v>
      </c>
    </row>
    <row r="26" spans="1:7" x14ac:dyDescent="0.25">
      <c r="A26" s="21">
        <v>44413</v>
      </c>
      <c r="B26" t="s">
        <v>69</v>
      </c>
      <c r="C26" s="22">
        <f>31*2+10</f>
        <v>72</v>
      </c>
      <c r="D26" s="23">
        <v>33500</v>
      </c>
      <c r="E26" s="23">
        <f t="shared" si="0"/>
        <v>2412000</v>
      </c>
      <c r="F26" s="26">
        <v>44427</v>
      </c>
      <c r="G26" s="27">
        <v>4860000</v>
      </c>
    </row>
    <row r="27" spans="1:7" x14ac:dyDescent="0.25">
      <c r="A27" s="21">
        <v>44413</v>
      </c>
      <c r="B27" t="s">
        <v>67</v>
      </c>
      <c r="C27" s="22">
        <v>15</v>
      </c>
      <c r="D27" s="23">
        <v>33000</v>
      </c>
      <c r="E27" s="23">
        <f t="shared" si="0"/>
        <v>495000</v>
      </c>
      <c r="F27" s="26">
        <v>44428</v>
      </c>
      <c r="G27" s="27">
        <v>11000000</v>
      </c>
    </row>
    <row r="28" spans="1:7" x14ac:dyDescent="0.25">
      <c r="A28" s="21">
        <v>44413</v>
      </c>
      <c r="B28" t="s">
        <v>8</v>
      </c>
      <c r="C28" s="22">
        <v>6</v>
      </c>
      <c r="D28" s="23">
        <v>35000</v>
      </c>
      <c r="E28" s="23">
        <f t="shared" si="0"/>
        <v>210000</v>
      </c>
      <c r="F28" s="45">
        <v>44429</v>
      </c>
      <c r="G28" s="25">
        <v>5589000</v>
      </c>
    </row>
    <row r="29" spans="1:7" x14ac:dyDescent="0.25">
      <c r="A29" s="21">
        <v>44413</v>
      </c>
      <c r="B29" t="s">
        <v>73</v>
      </c>
      <c r="C29" s="22">
        <v>20</v>
      </c>
      <c r="D29" s="23">
        <v>33000</v>
      </c>
      <c r="E29" s="23">
        <f t="shared" si="0"/>
        <v>660000</v>
      </c>
      <c r="F29" s="26">
        <v>44430</v>
      </c>
      <c r="G29" s="27">
        <v>3559000</v>
      </c>
    </row>
    <row r="30" spans="1:7" x14ac:dyDescent="0.25">
      <c r="A30" s="21">
        <v>44414</v>
      </c>
      <c r="B30" t="s">
        <v>69</v>
      </c>
      <c r="C30" s="22">
        <v>72</v>
      </c>
      <c r="D30" s="23">
        <v>33500</v>
      </c>
      <c r="E30" s="23">
        <f t="shared" si="0"/>
        <v>2412000</v>
      </c>
      <c r="F30" s="26"/>
      <c r="G30" s="27"/>
    </row>
    <row r="31" spans="1:7" x14ac:dyDescent="0.25">
      <c r="A31" s="21">
        <v>44415</v>
      </c>
      <c r="B31" t="s">
        <v>73</v>
      </c>
      <c r="C31" s="22">
        <v>106</v>
      </c>
      <c r="D31" s="23">
        <v>33000</v>
      </c>
      <c r="E31" s="23">
        <f t="shared" si="0"/>
        <v>3498000</v>
      </c>
      <c r="F31" s="26">
        <v>44432</v>
      </c>
      <c r="G31" s="27">
        <v>1330000</v>
      </c>
    </row>
    <row r="32" spans="1:7" x14ac:dyDescent="0.25">
      <c r="A32" s="43">
        <v>44415</v>
      </c>
      <c r="B32" t="s">
        <v>67</v>
      </c>
      <c r="C32" s="22">
        <v>216</v>
      </c>
      <c r="D32" s="20">
        <v>33000</v>
      </c>
      <c r="E32" s="44">
        <f t="shared" si="0"/>
        <v>7128000</v>
      </c>
      <c r="F32" s="26">
        <v>44433</v>
      </c>
      <c r="G32" s="27">
        <v>5850000</v>
      </c>
    </row>
    <row r="33" spans="1:8" x14ac:dyDescent="0.25">
      <c r="A33" s="21">
        <v>44415</v>
      </c>
      <c r="B33" t="s">
        <v>69</v>
      </c>
      <c r="C33" s="22">
        <v>194</v>
      </c>
      <c r="D33" s="23">
        <v>33500</v>
      </c>
      <c r="E33" s="23">
        <f t="shared" si="0"/>
        <v>6499000</v>
      </c>
      <c r="F33" s="26">
        <v>44434</v>
      </c>
      <c r="G33" s="27">
        <v>6450000</v>
      </c>
    </row>
    <row r="34" spans="1:8" x14ac:dyDescent="0.25">
      <c r="A34" s="21"/>
      <c r="D34" s="23"/>
      <c r="E34" s="23">
        <f t="shared" si="0"/>
        <v>0</v>
      </c>
      <c r="F34" s="26">
        <v>44435</v>
      </c>
      <c r="G34" s="27">
        <v>3050000</v>
      </c>
    </row>
    <row r="35" spans="1:8" x14ac:dyDescent="0.25">
      <c r="A35" s="21">
        <v>44417</v>
      </c>
      <c r="B35" t="s">
        <v>38</v>
      </c>
      <c r="C35" s="22">
        <v>64</v>
      </c>
      <c r="D35" s="23">
        <v>35000</v>
      </c>
      <c r="E35" s="23">
        <f t="shared" si="0"/>
        <v>2240000</v>
      </c>
      <c r="F35" s="26">
        <v>44436</v>
      </c>
      <c r="G35" s="27">
        <v>1850000</v>
      </c>
    </row>
    <row r="36" spans="1:8" x14ac:dyDescent="0.25">
      <c r="A36" s="21">
        <v>44418</v>
      </c>
      <c r="B36" t="s">
        <v>69</v>
      </c>
      <c r="C36" s="22">
        <v>18</v>
      </c>
      <c r="D36" s="23">
        <v>33500</v>
      </c>
      <c r="E36" s="23">
        <f t="shared" ref="E36:E67" si="1">C36*D36</f>
        <v>603000</v>
      </c>
      <c r="F36" s="26">
        <v>44437</v>
      </c>
      <c r="G36" s="27">
        <v>8117500</v>
      </c>
    </row>
    <row r="37" spans="1:8" x14ac:dyDescent="0.25">
      <c r="A37" s="21">
        <v>44418</v>
      </c>
      <c r="B37" t="s">
        <v>73</v>
      </c>
      <c r="C37" s="22">
        <v>26</v>
      </c>
      <c r="D37" s="23">
        <v>33000</v>
      </c>
      <c r="E37" s="23">
        <f t="shared" si="1"/>
        <v>858000</v>
      </c>
      <c r="F37" s="26"/>
      <c r="G37" s="27"/>
    </row>
    <row r="38" spans="1:8" x14ac:dyDescent="0.25">
      <c r="A38" s="21">
        <v>44418</v>
      </c>
      <c r="B38" t="s">
        <v>8</v>
      </c>
      <c r="C38" s="22">
        <v>13</v>
      </c>
      <c r="D38" s="23">
        <v>35000</v>
      </c>
      <c r="E38" s="23">
        <f t="shared" si="1"/>
        <v>455000</v>
      </c>
      <c r="F38" s="26">
        <v>44439</v>
      </c>
      <c r="G38" s="27">
        <v>7665000</v>
      </c>
    </row>
    <row r="39" spans="1:8" x14ac:dyDescent="0.25">
      <c r="A39" s="21">
        <v>44419</v>
      </c>
      <c r="B39" t="s">
        <v>67</v>
      </c>
      <c r="C39" s="22">
        <v>104</v>
      </c>
      <c r="D39" s="23">
        <v>33000</v>
      </c>
      <c r="E39" s="23">
        <f t="shared" si="1"/>
        <v>3432000</v>
      </c>
      <c r="F39" s="26">
        <v>44440</v>
      </c>
      <c r="G39" s="27">
        <v>6200000</v>
      </c>
    </row>
    <row r="40" spans="1:8" x14ac:dyDescent="0.25">
      <c r="A40" s="21">
        <v>44419</v>
      </c>
      <c r="B40" t="s">
        <v>69</v>
      </c>
      <c r="C40" s="22">
        <v>16</v>
      </c>
      <c r="D40" s="23">
        <v>33500</v>
      </c>
      <c r="E40" s="23">
        <f t="shared" si="1"/>
        <v>536000</v>
      </c>
      <c r="F40" s="26">
        <v>44441</v>
      </c>
      <c r="G40" s="27">
        <v>2880000</v>
      </c>
    </row>
    <row r="41" spans="1:8" x14ac:dyDescent="0.25">
      <c r="A41" s="21">
        <v>44419</v>
      </c>
      <c r="B41" t="s">
        <v>75</v>
      </c>
      <c r="C41" s="22">
        <v>78</v>
      </c>
      <c r="D41" s="23">
        <v>32000</v>
      </c>
      <c r="E41" s="23">
        <f t="shared" si="1"/>
        <v>2496000</v>
      </c>
      <c r="F41" s="45">
        <v>44442</v>
      </c>
      <c r="G41" s="17">
        <v>4440000</v>
      </c>
    </row>
    <row r="42" spans="1:8" x14ac:dyDescent="0.25">
      <c r="A42" s="21">
        <v>44421</v>
      </c>
      <c r="B42" t="s">
        <v>67</v>
      </c>
      <c r="C42" s="22">
        <f>9*6+4</f>
        <v>58</v>
      </c>
      <c r="D42" s="23">
        <v>33000</v>
      </c>
      <c r="E42" s="23">
        <f t="shared" si="1"/>
        <v>1914000</v>
      </c>
      <c r="F42" s="26">
        <v>44443</v>
      </c>
      <c r="G42" s="27">
        <v>4250000</v>
      </c>
    </row>
    <row r="43" spans="1:8" x14ac:dyDescent="0.25">
      <c r="A43" s="21">
        <v>44421</v>
      </c>
      <c r="B43" t="s">
        <v>73</v>
      </c>
      <c r="C43" s="22">
        <f>9*6+2</f>
        <v>56</v>
      </c>
      <c r="D43" s="23">
        <v>33000</v>
      </c>
      <c r="E43" s="23">
        <f t="shared" si="1"/>
        <v>1848000</v>
      </c>
      <c r="F43" s="26"/>
      <c r="G43" s="27">
        <v>2880000</v>
      </c>
      <c r="H43" t="s">
        <v>83</v>
      </c>
    </row>
    <row r="44" spans="1:8" x14ac:dyDescent="0.25">
      <c r="A44" s="21">
        <v>44422</v>
      </c>
      <c r="B44" t="s">
        <v>67</v>
      </c>
      <c r="C44" s="22">
        <v>52</v>
      </c>
      <c r="D44" s="23">
        <v>33000</v>
      </c>
      <c r="E44" s="23">
        <f t="shared" si="1"/>
        <v>1716000</v>
      </c>
      <c r="F44" s="26">
        <v>44444</v>
      </c>
      <c r="G44" s="27">
        <v>1892000</v>
      </c>
    </row>
    <row r="45" spans="1:8" x14ac:dyDescent="0.25">
      <c r="A45" s="21">
        <v>44422</v>
      </c>
      <c r="B45" t="s">
        <v>73</v>
      </c>
      <c r="C45" s="22">
        <v>162</v>
      </c>
      <c r="D45" s="23">
        <v>33000</v>
      </c>
      <c r="E45" s="23">
        <f t="shared" si="1"/>
        <v>5346000</v>
      </c>
      <c r="F45" s="26"/>
      <c r="G45" s="27"/>
    </row>
    <row r="46" spans="1:8" x14ac:dyDescent="0.25">
      <c r="A46" s="21">
        <v>44422</v>
      </c>
      <c r="B46" t="s">
        <v>69</v>
      </c>
      <c r="C46" s="22">
        <v>18</v>
      </c>
      <c r="D46" s="23">
        <v>33500</v>
      </c>
      <c r="E46" s="23">
        <f t="shared" si="1"/>
        <v>603000</v>
      </c>
      <c r="F46" s="26">
        <v>44446</v>
      </c>
      <c r="G46" s="27">
        <v>3800000</v>
      </c>
    </row>
    <row r="47" spans="1:8" x14ac:dyDescent="0.25">
      <c r="A47" s="21"/>
      <c r="D47" s="23"/>
      <c r="E47" s="23">
        <f t="shared" si="1"/>
        <v>0</v>
      </c>
      <c r="F47" s="26">
        <v>44447</v>
      </c>
      <c r="G47" s="27">
        <v>6003000</v>
      </c>
    </row>
    <row r="48" spans="1:8" x14ac:dyDescent="0.25">
      <c r="A48" s="21">
        <v>44426</v>
      </c>
      <c r="B48" t="s">
        <v>8</v>
      </c>
      <c r="C48" s="22">
        <v>208</v>
      </c>
      <c r="D48" s="23">
        <v>35000</v>
      </c>
      <c r="E48" s="23">
        <f t="shared" si="1"/>
        <v>7280000</v>
      </c>
      <c r="F48" s="26">
        <v>44448</v>
      </c>
      <c r="G48" s="27">
        <f>3070000+7500000</f>
        <v>10570000</v>
      </c>
    </row>
    <row r="49" spans="1:7" x14ac:dyDescent="0.25">
      <c r="A49" s="21">
        <v>44427</v>
      </c>
      <c r="B49" t="s">
        <v>67</v>
      </c>
      <c r="C49" s="22">
        <f>48*6+4</f>
        <v>292</v>
      </c>
      <c r="D49" s="23">
        <v>33000</v>
      </c>
      <c r="E49" s="23">
        <f t="shared" si="1"/>
        <v>9636000</v>
      </c>
      <c r="F49" s="45">
        <v>44449</v>
      </c>
      <c r="G49" s="17">
        <v>1400000</v>
      </c>
    </row>
    <row r="50" spans="1:7" x14ac:dyDescent="0.25">
      <c r="A50" s="21">
        <v>44429</v>
      </c>
      <c r="B50" t="s">
        <v>8</v>
      </c>
      <c r="C50" s="22">
        <v>30</v>
      </c>
      <c r="D50" s="23">
        <v>35500</v>
      </c>
      <c r="E50" s="23">
        <f t="shared" si="1"/>
        <v>1065000</v>
      </c>
      <c r="F50" s="26">
        <v>44450</v>
      </c>
      <c r="G50" s="27">
        <v>3330000</v>
      </c>
    </row>
    <row r="51" spans="1:7" x14ac:dyDescent="0.25">
      <c r="A51" s="21">
        <v>44429</v>
      </c>
      <c r="B51" t="s">
        <v>75</v>
      </c>
      <c r="C51" s="22">
        <v>12</v>
      </c>
      <c r="D51" s="23">
        <v>32000</v>
      </c>
      <c r="E51" s="23">
        <f t="shared" si="1"/>
        <v>384000</v>
      </c>
      <c r="F51" s="26">
        <v>44451</v>
      </c>
      <c r="G51" s="27">
        <v>9555000</v>
      </c>
    </row>
    <row r="52" spans="1:7" x14ac:dyDescent="0.25">
      <c r="A52" s="43">
        <v>44429</v>
      </c>
      <c r="B52" t="s">
        <v>76</v>
      </c>
      <c r="C52" s="22">
        <f>24+18</f>
        <v>42</v>
      </c>
      <c r="D52" s="20">
        <v>23000</v>
      </c>
      <c r="E52" s="23">
        <f t="shared" si="1"/>
        <v>966000</v>
      </c>
      <c r="F52" s="26"/>
      <c r="G52" s="27"/>
    </row>
    <row r="53" spans="1:7" x14ac:dyDescent="0.25">
      <c r="A53" s="21">
        <v>44429</v>
      </c>
      <c r="B53" t="s">
        <v>77</v>
      </c>
      <c r="C53" s="22">
        <v>14</v>
      </c>
      <c r="D53" s="23">
        <v>23000</v>
      </c>
      <c r="E53" s="23">
        <f t="shared" si="1"/>
        <v>322000</v>
      </c>
      <c r="F53" s="26">
        <v>44453</v>
      </c>
      <c r="G53" s="27">
        <v>7840000</v>
      </c>
    </row>
    <row r="54" spans="1:7" x14ac:dyDescent="0.25">
      <c r="A54" s="21">
        <v>44429</v>
      </c>
      <c r="B54" t="s">
        <v>17</v>
      </c>
      <c r="C54" s="22">
        <v>16</v>
      </c>
      <c r="D54" s="23">
        <v>25000</v>
      </c>
      <c r="E54" s="23">
        <f t="shared" si="1"/>
        <v>400000</v>
      </c>
      <c r="F54" s="26">
        <v>44454</v>
      </c>
      <c r="G54" s="27">
        <v>3775000</v>
      </c>
    </row>
    <row r="55" spans="1:7" x14ac:dyDescent="0.25">
      <c r="A55" s="21"/>
      <c r="D55" s="23"/>
      <c r="E55" s="23">
        <f t="shared" si="1"/>
        <v>0</v>
      </c>
      <c r="F55" s="26">
        <v>44455</v>
      </c>
      <c r="G55" s="27">
        <v>840000</v>
      </c>
    </row>
    <row r="56" spans="1:7" x14ac:dyDescent="0.25">
      <c r="A56" s="21">
        <v>44431</v>
      </c>
      <c r="B56" t="s">
        <v>17</v>
      </c>
      <c r="C56" s="22">
        <v>14</v>
      </c>
      <c r="D56" s="23">
        <v>25000</v>
      </c>
      <c r="E56" s="23">
        <f t="shared" si="1"/>
        <v>350000</v>
      </c>
      <c r="F56" s="26">
        <v>44456</v>
      </c>
      <c r="G56" s="27">
        <v>1000000</v>
      </c>
    </row>
    <row r="57" spans="1:7" x14ac:dyDescent="0.25">
      <c r="A57" s="21">
        <v>44431</v>
      </c>
      <c r="B57" t="s">
        <v>76</v>
      </c>
      <c r="C57" s="22">
        <v>20</v>
      </c>
      <c r="D57" s="23">
        <v>23000</v>
      </c>
      <c r="E57" s="23">
        <f t="shared" si="1"/>
        <v>460000</v>
      </c>
      <c r="F57" s="45">
        <v>44457</v>
      </c>
      <c r="G57" s="17">
        <v>5550000</v>
      </c>
    </row>
    <row r="58" spans="1:7" x14ac:dyDescent="0.25">
      <c r="A58" s="21">
        <v>44431</v>
      </c>
      <c r="B58" t="s">
        <v>78</v>
      </c>
      <c r="C58" s="22">
        <v>6</v>
      </c>
      <c r="D58" s="23">
        <v>30000</v>
      </c>
      <c r="E58" s="23">
        <f t="shared" si="1"/>
        <v>180000</v>
      </c>
      <c r="F58" s="26">
        <v>44458</v>
      </c>
      <c r="G58" s="27">
        <v>630000</v>
      </c>
    </row>
    <row r="59" spans="1:7" x14ac:dyDescent="0.25">
      <c r="A59" s="21">
        <v>44432</v>
      </c>
      <c r="B59" t="s">
        <v>68</v>
      </c>
      <c r="C59" s="22">
        <v>78</v>
      </c>
      <c r="D59" s="23">
        <v>33000</v>
      </c>
      <c r="E59" s="23">
        <f t="shared" si="1"/>
        <v>2574000</v>
      </c>
      <c r="F59" s="26"/>
      <c r="G59" s="27"/>
    </row>
    <row r="60" spans="1:7" x14ac:dyDescent="0.25">
      <c r="A60" s="21">
        <v>44432</v>
      </c>
      <c r="B60" t="s">
        <v>67</v>
      </c>
      <c r="C60" s="22">
        <v>96</v>
      </c>
      <c r="D60" s="23">
        <v>33000</v>
      </c>
      <c r="E60" s="23">
        <f t="shared" si="1"/>
        <v>3168000</v>
      </c>
      <c r="F60" s="26">
        <v>44460</v>
      </c>
      <c r="G60" s="27">
        <v>10000000</v>
      </c>
    </row>
    <row r="61" spans="1:7" x14ac:dyDescent="0.25">
      <c r="A61" s="21">
        <v>44433</v>
      </c>
      <c r="B61" t="s">
        <v>67</v>
      </c>
      <c r="C61" s="22">
        <v>160</v>
      </c>
      <c r="D61" s="23">
        <v>33000</v>
      </c>
      <c r="E61" s="23">
        <f t="shared" si="1"/>
        <v>5280000</v>
      </c>
      <c r="F61" s="26">
        <v>44461</v>
      </c>
      <c r="G61" s="27">
        <v>5750000</v>
      </c>
    </row>
    <row r="62" spans="1:7" x14ac:dyDescent="0.25">
      <c r="A62" s="21">
        <v>44433</v>
      </c>
      <c r="B62" t="s">
        <v>8</v>
      </c>
      <c r="C62" s="22">
        <v>78</v>
      </c>
      <c r="D62" s="23">
        <v>35000</v>
      </c>
      <c r="E62" s="23">
        <f t="shared" si="1"/>
        <v>2730000</v>
      </c>
      <c r="F62" s="26">
        <v>44462</v>
      </c>
      <c r="G62" s="27">
        <v>700000</v>
      </c>
    </row>
    <row r="63" spans="1:7" x14ac:dyDescent="0.25">
      <c r="A63" s="21">
        <v>44434</v>
      </c>
      <c r="B63" t="s">
        <v>67</v>
      </c>
      <c r="C63" s="22">
        <v>142</v>
      </c>
      <c r="D63" s="23">
        <v>33000</v>
      </c>
      <c r="E63" s="23">
        <f t="shared" si="1"/>
        <v>4686000</v>
      </c>
      <c r="F63" s="26">
        <v>44463</v>
      </c>
      <c r="G63" s="27">
        <v>1100000</v>
      </c>
    </row>
    <row r="64" spans="1:7" x14ac:dyDescent="0.25">
      <c r="A64" s="43">
        <v>44434</v>
      </c>
      <c r="B64" t="s">
        <v>68</v>
      </c>
      <c r="C64" s="22">
        <f>10+54</f>
        <v>64</v>
      </c>
      <c r="D64" s="20">
        <v>33000</v>
      </c>
      <c r="E64" s="20">
        <f t="shared" si="1"/>
        <v>2112000</v>
      </c>
      <c r="F64" s="45">
        <v>44464</v>
      </c>
      <c r="G64" s="17">
        <v>4550000</v>
      </c>
    </row>
    <row r="65" spans="1:8" x14ac:dyDescent="0.25">
      <c r="A65" s="21">
        <v>44434</v>
      </c>
      <c r="B65" t="s">
        <v>69</v>
      </c>
      <c r="C65" s="22">
        <v>6</v>
      </c>
      <c r="D65" s="23">
        <v>33500</v>
      </c>
      <c r="E65" s="23">
        <f t="shared" si="1"/>
        <v>201000</v>
      </c>
      <c r="F65" s="26">
        <v>44465</v>
      </c>
      <c r="G65" s="27">
        <v>400000</v>
      </c>
    </row>
    <row r="66" spans="1:8" x14ac:dyDescent="0.25">
      <c r="A66" s="21">
        <v>44434</v>
      </c>
      <c r="B66" t="s">
        <v>8</v>
      </c>
      <c r="C66" s="22">
        <v>30</v>
      </c>
      <c r="D66" s="23">
        <v>35000</v>
      </c>
      <c r="E66" s="23">
        <f t="shared" si="1"/>
        <v>1050000</v>
      </c>
      <c r="F66" s="26"/>
      <c r="G66" s="27"/>
    </row>
    <row r="67" spans="1:8" x14ac:dyDescent="0.25">
      <c r="A67" s="43">
        <v>44436</v>
      </c>
      <c r="B67" t="s">
        <v>67</v>
      </c>
      <c r="C67" s="22">
        <v>212</v>
      </c>
      <c r="D67" s="20">
        <v>33000</v>
      </c>
      <c r="E67" s="20">
        <f t="shared" si="1"/>
        <v>6996000</v>
      </c>
      <c r="F67" s="26">
        <v>44467</v>
      </c>
      <c r="G67" s="27">
        <v>9575000</v>
      </c>
    </row>
    <row r="68" spans="1:8" x14ac:dyDescent="0.25">
      <c r="A68" s="21">
        <v>44436</v>
      </c>
      <c r="B68" t="s">
        <v>8</v>
      </c>
      <c r="C68" s="22">
        <v>116</v>
      </c>
      <c r="D68" s="23">
        <v>35000</v>
      </c>
      <c r="E68" s="23">
        <f t="shared" ref="E68:E99" si="2">C68*D68</f>
        <v>4060000</v>
      </c>
      <c r="F68" s="26">
        <v>44468</v>
      </c>
      <c r="G68" s="27">
        <v>5540000</v>
      </c>
    </row>
    <row r="69" spans="1:8" x14ac:dyDescent="0.25">
      <c r="A69" s="21">
        <v>44436</v>
      </c>
      <c r="B69" t="s">
        <v>68</v>
      </c>
      <c r="C69" s="22">
        <v>112</v>
      </c>
      <c r="D69" s="23">
        <v>33000</v>
      </c>
      <c r="E69" s="23">
        <f t="shared" si="2"/>
        <v>3696000</v>
      </c>
      <c r="F69" s="26">
        <v>44469</v>
      </c>
      <c r="G69" s="27">
        <v>6800000</v>
      </c>
    </row>
    <row r="70" spans="1:8" x14ac:dyDescent="0.25">
      <c r="A70" s="21"/>
      <c r="B70" t="s">
        <v>80</v>
      </c>
      <c r="D70" s="23"/>
      <c r="E70" s="23">
        <f t="shared" si="2"/>
        <v>0</v>
      </c>
      <c r="F70" s="26">
        <v>44470</v>
      </c>
      <c r="G70" s="27">
        <v>1500000</v>
      </c>
    </row>
    <row r="71" spans="1:8" x14ac:dyDescent="0.25">
      <c r="A71" s="21">
        <v>44438</v>
      </c>
      <c r="B71" t="s">
        <v>67</v>
      </c>
      <c r="C71" s="22">
        <v>14</v>
      </c>
      <c r="D71" s="23">
        <v>33000</v>
      </c>
      <c r="E71" s="23">
        <f t="shared" si="2"/>
        <v>462000</v>
      </c>
      <c r="F71" s="26">
        <v>44471</v>
      </c>
      <c r="G71" s="27">
        <v>6685000</v>
      </c>
    </row>
    <row r="72" spans="1:8" x14ac:dyDescent="0.25">
      <c r="A72" s="21">
        <v>44438</v>
      </c>
      <c r="B72" t="s">
        <v>78</v>
      </c>
      <c r="C72" s="22">
        <v>15</v>
      </c>
      <c r="D72" s="23">
        <v>30000</v>
      </c>
      <c r="E72" s="23">
        <f t="shared" si="2"/>
        <v>450000</v>
      </c>
      <c r="F72" s="45">
        <v>44472</v>
      </c>
      <c r="G72" s="17">
        <v>9741000</v>
      </c>
      <c r="H72" t="s">
        <v>45</v>
      </c>
    </row>
    <row r="73" spans="1:8" x14ac:dyDescent="0.25">
      <c r="A73" s="21">
        <v>44438</v>
      </c>
      <c r="B73" t="s">
        <v>17</v>
      </c>
      <c r="C73" s="22">
        <v>48</v>
      </c>
      <c r="D73" s="23">
        <v>25000</v>
      </c>
      <c r="E73" s="23">
        <f t="shared" si="2"/>
        <v>1200000</v>
      </c>
      <c r="F73" s="26"/>
      <c r="G73" s="27">
        <f>7775000</f>
        <v>7775000</v>
      </c>
    </row>
    <row r="74" spans="1:8" x14ac:dyDescent="0.25">
      <c r="A74" s="43">
        <v>44438</v>
      </c>
      <c r="B74" t="s">
        <v>76</v>
      </c>
      <c r="C74" s="22">
        <v>12</v>
      </c>
      <c r="D74" s="20">
        <v>23000</v>
      </c>
      <c r="E74" s="20">
        <f t="shared" si="2"/>
        <v>276000</v>
      </c>
      <c r="F74" s="26"/>
      <c r="G74" s="27"/>
    </row>
    <row r="75" spans="1:8" x14ac:dyDescent="0.25">
      <c r="A75" s="21">
        <v>44439</v>
      </c>
      <c r="B75" t="s">
        <v>67</v>
      </c>
      <c r="C75" s="22">
        <f>28*6+22</f>
        <v>190</v>
      </c>
      <c r="D75" s="23">
        <v>33000</v>
      </c>
      <c r="E75" s="23">
        <f t="shared" si="2"/>
        <v>6270000</v>
      </c>
      <c r="F75" s="26"/>
      <c r="G75" s="27"/>
    </row>
    <row r="76" spans="1:8" x14ac:dyDescent="0.25">
      <c r="A76" s="21">
        <v>44439</v>
      </c>
      <c r="B76" t="s">
        <v>68</v>
      </c>
      <c r="C76" s="22">
        <f>8*6+4</f>
        <v>52</v>
      </c>
      <c r="D76" s="23">
        <v>33000</v>
      </c>
      <c r="E76" s="23">
        <f t="shared" si="2"/>
        <v>1716000</v>
      </c>
      <c r="F76" s="26"/>
      <c r="G76" s="27"/>
    </row>
    <row r="77" spans="1:8" x14ac:dyDescent="0.25">
      <c r="A77" s="21">
        <v>44439</v>
      </c>
      <c r="B77" t="s">
        <v>8</v>
      </c>
      <c r="C77" s="22">
        <f>2*6+4+48</f>
        <v>64</v>
      </c>
      <c r="D77" s="23">
        <v>35000</v>
      </c>
      <c r="E77" s="23">
        <f t="shared" si="2"/>
        <v>2240000</v>
      </c>
      <c r="F77" s="26"/>
      <c r="G77" s="27"/>
    </row>
    <row r="78" spans="1:8" x14ac:dyDescent="0.25">
      <c r="A78" s="21">
        <v>44441</v>
      </c>
      <c r="B78" t="s">
        <v>8</v>
      </c>
      <c r="C78" s="22">
        <v>80</v>
      </c>
      <c r="D78" s="23">
        <v>35000</v>
      </c>
      <c r="E78" s="23">
        <f t="shared" si="2"/>
        <v>2800000</v>
      </c>
      <c r="F78" s="26"/>
      <c r="G78" s="27"/>
    </row>
    <row r="79" spans="1:8" x14ac:dyDescent="0.25">
      <c r="A79" s="43">
        <v>44442</v>
      </c>
      <c r="B79" t="s">
        <v>8</v>
      </c>
      <c r="C79" s="22">
        <v>106</v>
      </c>
      <c r="D79" s="20">
        <v>35000</v>
      </c>
      <c r="E79" s="20">
        <f t="shared" si="2"/>
        <v>3710000</v>
      </c>
      <c r="F79" s="26"/>
      <c r="G79" s="27"/>
    </row>
    <row r="80" spans="1:8" x14ac:dyDescent="0.25">
      <c r="A80" s="21">
        <v>44443</v>
      </c>
      <c r="B80" t="s">
        <v>68</v>
      </c>
      <c r="C80" s="22">
        <v>6</v>
      </c>
      <c r="D80" s="23">
        <v>33000</v>
      </c>
      <c r="E80" s="23">
        <f t="shared" si="2"/>
        <v>198000</v>
      </c>
    </row>
    <row r="81" spans="1:7" x14ac:dyDescent="0.25">
      <c r="A81" s="21">
        <v>44443</v>
      </c>
      <c r="B81" t="s">
        <v>69</v>
      </c>
      <c r="C81" s="22">
        <v>2</v>
      </c>
      <c r="D81" s="23">
        <v>33500</v>
      </c>
      <c r="E81" s="23">
        <f t="shared" si="2"/>
        <v>67000</v>
      </c>
      <c r="F81" s="26"/>
    </row>
    <row r="82" spans="1:7" x14ac:dyDescent="0.25">
      <c r="A82" s="21"/>
      <c r="B82">
        <v>1</v>
      </c>
      <c r="D82" s="23"/>
      <c r="E82" s="23"/>
      <c r="F82" s="26"/>
      <c r="G82" s="27"/>
    </row>
    <row r="83" spans="1:7" x14ac:dyDescent="0.25">
      <c r="A83" s="21">
        <v>44445</v>
      </c>
      <c r="B83" t="s">
        <v>8</v>
      </c>
      <c r="C83" s="22">
        <v>90</v>
      </c>
      <c r="D83" s="23">
        <v>35000</v>
      </c>
      <c r="E83" s="23">
        <f t="shared" ref="E83:E111" si="3">C83*D83</f>
        <v>3150000</v>
      </c>
      <c r="F83" s="45"/>
    </row>
    <row r="84" spans="1:7" x14ac:dyDescent="0.25">
      <c r="A84" s="21">
        <v>44445</v>
      </c>
      <c r="B84" t="s">
        <v>68</v>
      </c>
      <c r="C84" s="22">
        <v>28</v>
      </c>
      <c r="D84" s="23">
        <v>33000</v>
      </c>
      <c r="E84" s="23">
        <f t="shared" si="3"/>
        <v>924000</v>
      </c>
      <c r="F84" s="45"/>
    </row>
    <row r="85" spans="1:7" x14ac:dyDescent="0.25">
      <c r="A85" s="21">
        <v>44446</v>
      </c>
      <c r="B85" t="s">
        <v>8</v>
      </c>
      <c r="C85" s="22">
        <f>14*6+2</f>
        <v>86</v>
      </c>
      <c r="D85" s="23">
        <v>35000</v>
      </c>
      <c r="E85" s="23">
        <f t="shared" si="3"/>
        <v>3010000</v>
      </c>
      <c r="F85" s="45"/>
    </row>
    <row r="86" spans="1:7" x14ac:dyDescent="0.25">
      <c r="A86" s="21">
        <v>44446</v>
      </c>
      <c r="B86" t="s">
        <v>84</v>
      </c>
      <c r="C86" s="22">
        <v>66</v>
      </c>
      <c r="D86" s="23">
        <v>33500</v>
      </c>
      <c r="E86" s="23">
        <f t="shared" si="3"/>
        <v>2211000</v>
      </c>
    </row>
    <row r="87" spans="1:7" x14ac:dyDescent="0.25">
      <c r="A87" s="21">
        <v>44447</v>
      </c>
      <c r="B87" t="s">
        <v>67</v>
      </c>
      <c r="C87" s="22">
        <f>50+94</f>
        <v>144</v>
      </c>
      <c r="D87" s="23">
        <v>33000</v>
      </c>
      <c r="E87" s="23">
        <f t="shared" si="3"/>
        <v>4752000</v>
      </c>
    </row>
    <row r="88" spans="1:7" x14ac:dyDescent="0.25">
      <c r="A88" s="21">
        <v>44447</v>
      </c>
      <c r="B88" t="s">
        <v>84</v>
      </c>
      <c r="C88" s="22">
        <v>28</v>
      </c>
      <c r="D88" s="23">
        <v>33500</v>
      </c>
      <c r="E88" s="23">
        <f t="shared" si="3"/>
        <v>938000</v>
      </c>
    </row>
    <row r="89" spans="1:7" x14ac:dyDescent="0.25">
      <c r="A89" s="21">
        <v>44448</v>
      </c>
      <c r="B89" t="s">
        <v>67</v>
      </c>
      <c r="C89" s="22">
        <f>22*6</f>
        <v>132</v>
      </c>
      <c r="D89" s="23">
        <v>33000</v>
      </c>
      <c r="E89" s="23">
        <f t="shared" si="3"/>
        <v>4356000</v>
      </c>
    </row>
    <row r="90" spans="1:7" x14ac:dyDescent="0.25">
      <c r="A90" s="43">
        <v>44449</v>
      </c>
      <c r="B90" t="s">
        <v>68</v>
      </c>
      <c r="C90" s="22">
        <v>60</v>
      </c>
      <c r="D90" s="20">
        <v>33000</v>
      </c>
      <c r="E90" s="20">
        <f t="shared" si="3"/>
        <v>1980000</v>
      </c>
    </row>
    <row r="91" spans="1:7" x14ac:dyDescent="0.25">
      <c r="A91" s="21">
        <v>44449</v>
      </c>
      <c r="B91" t="s">
        <v>84</v>
      </c>
      <c r="C91" s="22">
        <f>6*6+4</f>
        <v>40</v>
      </c>
      <c r="D91" s="23">
        <v>33500</v>
      </c>
      <c r="E91" s="23">
        <f t="shared" si="3"/>
        <v>1340000</v>
      </c>
    </row>
    <row r="92" spans="1:7" x14ac:dyDescent="0.25">
      <c r="A92" s="21">
        <v>44450</v>
      </c>
      <c r="B92" t="s">
        <v>8</v>
      </c>
      <c r="C92" s="22">
        <v>156</v>
      </c>
      <c r="D92" s="23">
        <v>35000</v>
      </c>
      <c r="E92" s="23">
        <f t="shared" si="3"/>
        <v>5460000</v>
      </c>
    </row>
    <row r="93" spans="1:7" x14ac:dyDescent="0.25">
      <c r="A93" s="21">
        <v>44450</v>
      </c>
      <c r="B93" t="s">
        <v>68</v>
      </c>
      <c r="C93" s="22">
        <v>60</v>
      </c>
      <c r="D93" s="23">
        <v>33000</v>
      </c>
      <c r="E93" s="23">
        <f t="shared" si="3"/>
        <v>1980000</v>
      </c>
    </row>
    <row r="94" spans="1:7" x14ac:dyDescent="0.25">
      <c r="A94" s="21"/>
      <c r="B94" t="s">
        <v>85</v>
      </c>
      <c r="D94" s="23"/>
      <c r="E94" s="23">
        <f t="shared" si="3"/>
        <v>0</v>
      </c>
    </row>
    <row r="95" spans="1:7" x14ac:dyDescent="0.25">
      <c r="A95" s="21">
        <v>44452</v>
      </c>
      <c r="B95" t="s">
        <v>67</v>
      </c>
      <c r="C95" s="22">
        <v>60</v>
      </c>
      <c r="D95" s="23">
        <v>33000</v>
      </c>
      <c r="E95" s="23">
        <f t="shared" si="3"/>
        <v>1980000</v>
      </c>
    </row>
    <row r="96" spans="1:7" x14ac:dyDescent="0.25">
      <c r="A96" s="21">
        <v>44452</v>
      </c>
      <c r="B96" t="s">
        <v>8</v>
      </c>
      <c r="C96" s="22">
        <v>64</v>
      </c>
      <c r="D96" s="23">
        <v>35000</v>
      </c>
      <c r="E96" s="23">
        <f t="shared" si="3"/>
        <v>2240000</v>
      </c>
    </row>
    <row r="97" spans="1:5" x14ac:dyDescent="0.25">
      <c r="A97" s="21">
        <v>44452</v>
      </c>
      <c r="B97" t="s">
        <v>86</v>
      </c>
      <c r="C97" s="22">
        <v>60</v>
      </c>
      <c r="D97" s="23">
        <v>35000</v>
      </c>
      <c r="E97" s="23">
        <f t="shared" si="3"/>
        <v>2100000</v>
      </c>
    </row>
    <row r="98" spans="1:5" x14ac:dyDescent="0.25">
      <c r="A98" s="21">
        <v>44452</v>
      </c>
      <c r="B98" t="s">
        <v>17</v>
      </c>
      <c r="C98" s="22">
        <v>12</v>
      </c>
      <c r="D98" s="23">
        <v>25000</v>
      </c>
      <c r="E98" s="23">
        <f t="shared" si="3"/>
        <v>300000</v>
      </c>
    </row>
    <row r="99" spans="1:5" x14ac:dyDescent="0.25">
      <c r="A99" s="21">
        <v>44452</v>
      </c>
      <c r="B99" t="s">
        <v>77</v>
      </c>
      <c r="C99" s="22">
        <v>7</v>
      </c>
      <c r="D99" s="23">
        <v>23000</v>
      </c>
      <c r="E99" s="23">
        <f t="shared" si="3"/>
        <v>161000</v>
      </c>
    </row>
    <row r="100" spans="1:5" x14ac:dyDescent="0.25">
      <c r="A100" s="21">
        <v>44452</v>
      </c>
      <c r="B100" t="s">
        <v>76</v>
      </c>
      <c r="C100" s="22">
        <v>19</v>
      </c>
      <c r="D100" s="23">
        <v>23000</v>
      </c>
      <c r="E100" s="23">
        <f t="shared" si="3"/>
        <v>437000</v>
      </c>
    </row>
    <row r="101" spans="1:5" x14ac:dyDescent="0.25">
      <c r="A101" s="21">
        <v>44452</v>
      </c>
      <c r="B101" t="s">
        <v>78</v>
      </c>
      <c r="C101" s="22">
        <v>23</v>
      </c>
      <c r="D101" s="23">
        <v>30000</v>
      </c>
      <c r="E101" s="23">
        <f t="shared" si="3"/>
        <v>690000</v>
      </c>
    </row>
    <row r="102" spans="1:5" x14ac:dyDescent="0.25">
      <c r="A102" s="21">
        <v>44453</v>
      </c>
      <c r="B102" t="s">
        <v>68</v>
      </c>
      <c r="C102" s="22">
        <v>4</v>
      </c>
      <c r="D102" s="23">
        <v>33000</v>
      </c>
      <c r="E102" s="23">
        <f t="shared" si="3"/>
        <v>132000</v>
      </c>
    </row>
    <row r="103" spans="1:5" x14ac:dyDescent="0.25">
      <c r="A103" s="43">
        <v>44453</v>
      </c>
      <c r="B103" t="s">
        <v>8</v>
      </c>
      <c r="C103" s="22">
        <v>36</v>
      </c>
      <c r="D103" s="20">
        <v>35000</v>
      </c>
      <c r="E103" s="20">
        <f t="shared" si="3"/>
        <v>1260000</v>
      </c>
    </row>
    <row r="104" spans="1:5" x14ac:dyDescent="0.25">
      <c r="A104" s="21">
        <v>44453</v>
      </c>
      <c r="B104" t="s">
        <v>67</v>
      </c>
      <c r="C104" s="22">
        <v>14</v>
      </c>
      <c r="D104" s="23">
        <v>33000</v>
      </c>
      <c r="E104" s="23">
        <f t="shared" si="3"/>
        <v>462000</v>
      </c>
    </row>
    <row r="105" spans="1:5" x14ac:dyDescent="0.25">
      <c r="A105" s="21">
        <v>44453</v>
      </c>
      <c r="B105" t="s">
        <v>86</v>
      </c>
      <c r="C105" s="22">
        <v>68</v>
      </c>
      <c r="D105" s="23">
        <v>35000</v>
      </c>
      <c r="E105" s="23">
        <f t="shared" si="3"/>
        <v>2380000</v>
      </c>
    </row>
    <row r="106" spans="1:5" x14ac:dyDescent="0.25">
      <c r="A106" s="21">
        <v>44454</v>
      </c>
      <c r="B106" t="s">
        <v>86</v>
      </c>
      <c r="C106" s="22">
        <v>56</v>
      </c>
      <c r="D106" s="23">
        <v>35000</v>
      </c>
      <c r="E106" s="23">
        <f t="shared" si="3"/>
        <v>1960000</v>
      </c>
    </row>
    <row r="107" spans="1:5" x14ac:dyDescent="0.25">
      <c r="A107" s="21">
        <v>44454</v>
      </c>
      <c r="B107" t="s">
        <v>8</v>
      </c>
      <c r="C107" s="22">
        <v>98</v>
      </c>
      <c r="D107" s="23">
        <v>35000</v>
      </c>
      <c r="E107" s="23">
        <f t="shared" si="3"/>
        <v>3430000</v>
      </c>
    </row>
    <row r="108" spans="1:5" x14ac:dyDescent="0.25">
      <c r="A108" s="21">
        <v>44456</v>
      </c>
      <c r="B108" t="s">
        <v>86</v>
      </c>
      <c r="C108" s="22">
        <v>120</v>
      </c>
      <c r="D108" s="23">
        <v>35000</v>
      </c>
      <c r="E108" s="23">
        <f t="shared" si="3"/>
        <v>4200000</v>
      </c>
    </row>
    <row r="109" spans="1:5" x14ac:dyDescent="0.25">
      <c r="A109" s="21">
        <v>44457</v>
      </c>
      <c r="B109" t="s">
        <v>86</v>
      </c>
      <c r="C109" s="22">
        <v>42</v>
      </c>
      <c r="D109" s="23">
        <v>35000</v>
      </c>
      <c r="E109" s="23">
        <f t="shared" si="3"/>
        <v>1470000</v>
      </c>
    </row>
    <row r="110" spans="1:5" x14ac:dyDescent="0.25">
      <c r="A110" s="21">
        <v>44457</v>
      </c>
      <c r="B110" t="s">
        <v>84</v>
      </c>
      <c r="C110" s="22">
        <v>24</v>
      </c>
      <c r="D110" s="23">
        <v>33500</v>
      </c>
      <c r="E110" s="23">
        <f t="shared" si="3"/>
        <v>804000</v>
      </c>
    </row>
    <row r="111" spans="1:5" x14ac:dyDescent="0.25">
      <c r="A111" s="21">
        <v>44457</v>
      </c>
      <c r="B111" t="s">
        <v>8</v>
      </c>
      <c r="C111" s="22">
        <v>62</v>
      </c>
      <c r="D111" s="23">
        <v>35000</v>
      </c>
      <c r="E111" s="23">
        <f t="shared" si="3"/>
        <v>2170000</v>
      </c>
    </row>
    <row r="112" spans="1:5" x14ac:dyDescent="0.25">
      <c r="A112" s="21"/>
      <c r="B112" t="s">
        <v>85</v>
      </c>
      <c r="D112" s="23"/>
      <c r="E112" s="23"/>
    </row>
    <row r="113" spans="1:7" x14ac:dyDescent="0.25">
      <c r="A113" s="21">
        <v>44459</v>
      </c>
      <c r="B113" t="s">
        <v>8</v>
      </c>
      <c r="C113" s="22">
        <v>76</v>
      </c>
      <c r="D113" s="23">
        <v>35000</v>
      </c>
      <c r="E113" s="23">
        <f>C113*D113</f>
        <v>2660000</v>
      </c>
    </row>
    <row r="114" spans="1:7" x14ac:dyDescent="0.25">
      <c r="A114" s="21">
        <v>44459</v>
      </c>
      <c r="B114" t="s">
        <v>86</v>
      </c>
      <c r="C114" s="22">
        <v>8</v>
      </c>
      <c r="D114" s="23">
        <v>35000</v>
      </c>
      <c r="E114" s="23">
        <f>C114*D114</f>
        <v>280000</v>
      </c>
    </row>
    <row r="115" spans="1:7" x14ac:dyDescent="0.25">
      <c r="A115" s="21">
        <v>44459</v>
      </c>
      <c r="B115" t="s">
        <v>67</v>
      </c>
      <c r="C115" s="22">
        <f>34+26</f>
        <v>60</v>
      </c>
      <c r="D115" s="23">
        <v>33000</v>
      </c>
      <c r="E115" s="23">
        <f>C115*D115</f>
        <v>1980000</v>
      </c>
    </row>
    <row r="116" spans="1:7" x14ac:dyDescent="0.25">
      <c r="A116" s="21">
        <v>44459</v>
      </c>
      <c r="B116" t="s">
        <v>84</v>
      </c>
      <c r="C116" s="22">
        <v>82</v>
      </c>
      <c r="D116" s="23">
        <v>33500</v>
      </c>
      <c r="E116" s="23">
        <f>C116*D116</f>
        <v>2747000</v>
      </c>
    </row>
    <row r="117" spans="1:7" x14ac:dyDescent="0.25">
      <c r="B117" t="s">
        <v>85</v>
      </c>
    </row>
    <row r="118" spans="1:7" x14ac:dyDescent="0.25">
      <c r="A118" s="43">
        <v>44460</v>
      </c>
      <c r="B118" t="s">
        <v>67</v>
      </c>
      <c r="C118" s="22">
        <v>170</v>
      </c>
      <c r="D118" s="20">
        <v>33000</v>
      </c>
      <c r="E118" s="23">
        <f>C118*D118</f>
        <v>5610000</v>
      </c>
    </row>
    <row r="119" spans="1:7" x14ac:dyDescent="0.25">
      <c r="A119" s="43">
        <v>44461</v>
      </c>
      <c r="B119" t="s">
        <v>67</v>
      </c>
      <c r="C119" s="22">
        <f>37*6+2</f>
        <v>224</v>
      </c>
      <c r="D119" s="20">
        <v>33000</v>
      </c>
      <c r="E119" s="23">
        <f>C119*D119</f>
        <v>7392000</v>
      </c>
    </row>
    <row r="120" spans="1:7" x14ac:dyDescent="0.25">
      <c r="A120" s="43">
        <v>44463</v>
      </c>
      <c r="B120" t="s">
        <v>90</v>
      </c>
      <c r="C120" s="22">
        <v>60</v>
      </c>
      <c r="D120" s="20">
        <v>46000</v>
      </c>
      <c r="E120" s="23">
        <f>C120*D120</f>
        <v>2760000</v>
      </c>
    </row>
    <row r="121" spans="1:7" x14ac:dyDescent="0.25">
      <c r="A121" s="43">
        <v>44464</v>
      </c>
      <c r="B121" t="s">
        <v>90</v>
      </c>
      <c r="C121" s="22">
        <v>138</v>
      </c>
      <c r="D121" s="20">
        <v>46000</v>
      </c>
      <c r="E121" s="23">
        <f>C121*D121</f>
        <v>6348000</v>
      </c>
    </row>
    <row r="122" spans="1:7" x14ac:dyDescent="0.25">
      <c r="A122" s="43">
        <v>44464</v>
      </c>
      <c r="B122" t="s">
        <v>67</v>
      </c>
      <c r="C122" s="22">
        <v>95</v>
      </c>
      <c r="D122" s="20">
        <v>33000</v>
      </c>
      <c r="E122" s="23">
        <f>C122*D122</f>
        <v>3135000</v>
      </c>
    </row>
    <row r="123" spans="1:7" x14ac:dyDescent="0.25">
      <c r="B123" t="s">
        <v>85</v>
      </c>
      <c r="E123" s="23"/>
    </row>
    <row r="124" spans="1:7" x14ac:dyDescent="0.25">
      <c r="A124" s="43">
        <v>44466</v>
      </c>
      <c r="B124" t="s">
        <v>90</v>
      </c>
      <c r="C124" s="22">
        <f>17*6</f>
        <v>102</v>
      </c>
      <c r="D124" s="20">
        <v>46000</v>
      </c>
      <c r="E124" s="67">
        <f t="shared" ref="E124:E131" si="4">C124*D124</f>
        <v>4692000</v>
      </c>
    </row>
    <row r="125" spans="1:7" x14ac:dyDescent="0.25">
      <c r="A125" s="43">
        <v>44467</v>
      </c>
      <c r="B125" t="s">
        <v>90</v>
      </c>
      <c r="C125" s="22">
        <v>154</v>
      </c>
      <c r="D125" s="20">
        <v>46000</v>
      </c>
      <c r="E125" s="67">
        <f t="shared" si="4"/>
        <v>7084000</v>
      </c>
    </row>
    <row r="126" spans="1:7" x14ac:dyDescent="0.25">
      <c r="A126" s="43">
        <v>44468</v>
      </c>
      <c r="B126" t="s">
        <v>90</v>
      </c>
      <c r="C126" s="22">
        <v>104</v>
      </c>
      <c r="D126" s="20">
        <v>46000</v>
      </c>
      <c r="E126" s="23">
        <f t="shared" si="4"/>
        <v>4784000</v>
      </c>
      <c r="G126" s="27"/>
    </row>
    <row r="127" spans="1:7" x14ac:dyDescent="0.25">
      <c r="A127" s="43">
        <v>44469</v>
      </c>
      <c r="B127" t="s">
        <v>90</v>
      </c>
      <c r="C127" s="22">
        <v>100</v>
      </c>
      <c r="D127" s="20">
        <v>46000</v>
      </c>
      <c r="E127" s="67">
        <f t="shared" si="4"/>
        <v>4600000</v>
      </c>
    </row>
    <row r="128" spans="1:7" x14ac:dyDescent="0.25">
      <c r="A128" s="43">
        <v>44470</v>
      </c>
      <c r="B128" t="s">
        <v>90</v>
      </c>
      <c r="C128" s="22">
        <v>60</v>
      </c>
      <c r="D128" s="20">
        <v>46000</v>
      </c>
      <c r="E128" s="67">
        <f t="shared" si="4"/>
        <v>2760000</v>
      </c>
    </row>
    <row r="129" spans="1:7" x14ac:dyDescent="0.25">
      <c r="A129" s="43">
        <v>44470</v>
      </c>
      <c r="B129" t="s">
        <v>92</v>
      </c>
      <c r="C129" s="22">
        <v>126</v>
      </c>
      <c r="D129" s="20">
        <v>38000</v>
      </c>
      <c r="E129" s="67">
        <f t="shared" si="4"/>
        <v>4788000</v>
      </c>
    </row>
    <row r="130" spans="1:7" x14ac:dyDescent="0.25">
      <c r="A130" s="43">
        <v>44471</v>
      </c>
      <c r="B130" t="s">
        <v>90</v>
      </c>
      <c r="C130" s="22">
        <f>216+50</f>
        <v>266</v>
      </c>
      <c r="D130" s="20">
        <v>46000</v>
      </c>
      <c r="E130" s="67">
        <f t="shared" si="4"/>
        <v>12236000</v>
      </c>
      <c r="G130" s="27"/>
    </row>
    <row r="131" spans="1:7" x14ac:dyDescent="0.25">
      <c r="A131" s="43">
        <v>44471</v>
      </c>
      <c r="B131" t="s">
        <v>92</v>
      </c>
      <c r="C131" s="22">
        <v>30</v>
      </c>
      <c r="D131" s="20">
        <v>38000</v>
      </c>
      <c r="E131" s="67">
        <f t="shared" si="4"/>
        <v>1140000</v>
      </c>
      <c r="G131" s="17"/>
    </row>
    <row r="199" spans="5:7" x14ac:dyDescent="0.25">
      <c r="E199" s="23">
        <f>SUM(E3:E198)</f>
        <v>316675000</v>
      </c>
      <c r="G199" s="27">
        <f>SUM(G3:G198)</f>
        <v>294857000</v>
      </c>
    </row>
    <row r="200" spans="5:7" x14ac:dyDescent="0.25">
      <c r="E200" s="23"/>
      <c r="G200" s="27"/>
    </row>
  </sheetData>
  <mergeCells count="3">
    <mergeCell ref="A1:E1"/>
    <mergeCell ref="F1:G1"/>
    <mergeCell ref="I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117D-00EA-3A42-A872-05CE2AE9D0F1}">
  <dimension ref="A2:F199"/>
  <sheetViews>
    <sheetView zoomScaleNormal="60" zoomScaleSheetLayoutView="100" workbookViewId="0">
      <selection activeCell="F30" sqref="F30"/>
    </sheetView>
  </sheetViews>
  <sheetFormatPr defaultRowHeight="15" x14ac:dyDescent="0.25"/>
  <cols>
    <col min="1" max="1" width="15.28515625" customWidth="1"/>
    <col min="3" max="3" width="10.5703125" bestFit="1" customWidth="1"/>
    <col min="4" max="4" width="14" style="1" customWidth="1"/>
    <col min="5" max="5" width="12.140625" customWidth="1"/>
    <col min="6" max="6" width="16.140625" customWidth="1"/>
  </cols>
  <sheetData>
    <row r="2" spans="1:6" x14ac:dyDescent="0.25">
      <c r="A2" t="s">
        <v>1</v>
      </c>
      <c r="B2" t="s">
        <v>2</v>
      </c>
      <c r="C2" t="s">
        <v>3</v>
      </c>
      <c r="D2" s="1" t="s">
        <v>4</v>
      </c>
    </row>
    <row r="3" spans="1:6" x14ac:dyDescent="0.25">
      <c r="E3" s="8" t="s">
        <v>20</v>
      </c>
      <c r="F3" s="9">
        <f>'2021 хисобот 1'!I3</f>
        <v>21818000</v>
      </c>
    </row>
    <row r="4" spans="1:6" x14ac:dyDescent="0.25">
      <c r="A4" s="62" t="s">
        <v>67</v>
      </c>
      <c r="B4" s="63">
        <v>296</v>
      </c>
      <c r="C4" s="64">
        <v>33000</v>
      </c>
      <c r="D4" s="1">
        <f t="shared" ref="D4:D25" si="0">B4*C4</f>
        <v>9768000</v>
      </c>
    </row>
    <row r="5" spans="1:6" x14ac:dyDescent="0.25">
      <c r="A5" s="47" t="s">
        <v>90</v>
      </c>
      <c r="B5" s="47">
        <v>112</v>
      </c>
      <c r="C5" s="53">
        <v>46000</v>
      </c>
      <c r="D5" s="52">
        <f t="shared" si="0"/>
        <v>5152000</v>
      </c>
      <c r="E5" s="10" t="s">
        <v>21</v>
      </c>
      <c r="F5" s="11">
        <f>D32</f>
        <v>24962000</v>
      </c>
    </row>
    <row r="6" spans="1:6" x14ac:dyDescent="0.25">
      <c r="A6" s="62" t="s">
        <v>12</v>
      </c>
      <c r="B6" s="63">
        <v>5</v>
      </c>
      <c r="C6" s="64">
        <v>32000</v>
      </c>
      <c r="D6" s="1">
        <f t="shared" si="0"/>
        <v>160000</v>
      </c>
    </row>
    <row r="7" spans="1:6" x14ac:dyDescent="0.25">
      <c r="A7" s="10" t="s">
        <v>39</v>
      </c>
      <c r="B7" s="61"/>
      <c r="C7" s="51">
        <v>32000</v>
      </c>
      <c r="D7" s="1">
        <f t="shared" si="0"/>
        <v>0</v>
      </c>
    </row>
    <row r="8" spans="1:6" x14ac:dyDescent="0.25">
      <c r="A8" s="10" t="s">
        <v>65</v>
      </c>
      <c r="B8" s="50"/>
      <c r="C8" s="10">
        <v>11000</v>
      </c>
      <c r="D8" s="1">
        <f t="shared" si="0"/>
        <v>0</v>
      </c>
      <c r="E8" s="12" t="s">
        <v>22</v>
      </c>
      <c r="F8" s="13">
        <f>F3-F5</f>
        <v>-3144000</v>
      </c>
    </row>
    <row r="9" spans="1:6" x14ac:dyDescent="0.25">
      <c r="A9" s="62" t="s">
        <v>87</v>
      </c>
      <c r="B9" s="63">
        <v>84</v>
      </c>
      <c r="C9" s="62">
        <v>35000</v>
      </c>
      <c r="D9" s="1">
        <f t="shared" si="0"/>
        <v>2940000</v>
      </c>
    </row>
    <row r="10" spans="1:6" x14ac:dyDescent="0.25">
      <c r="A10" s="62" t="s">
        <v>69</v>
      </c>
      <c r="B10" s="63">
        <v>26</v>
      </c>
      <c r="C10" s="62">
        <v>33500</v>
      </c>
      <c r="D10" s="1">
        <f t="shared" si="0"/>
        <v>871000</v>
      </c>
    </row>
    <row r="11" spans="1:6" x14ac:dyDescent="0.25">
      <c r="A11" s="10" t="s">
        <v>63</v>
      </c>
      <c r="B11" s="50"/>
      <c r="C11" s="10">
        <v>13000</v>
      </c>
      <c r="D11" s="1">
        <f t="shared" si="0"/>
        <v>0</v>
      </c>
    </row>
    <row r="12" spans="1:6" x14ac:dyDescent="0.25">
      <c r="A12" s="10" t="s">
        <v>51</v>
      </c>
      <c r="B12" s="61"/>
      <c r="C12" s="10">
        <v>26000</v>
      </c>
      <c r="D12" s="1">
        <f t="shared" si="0"/>
        <v>0</v>
      </c>
    </row>
    <row r="13" spans="1:6" x14ac:dyDescent="0.25">
      <c r="A13" s="47" t="s">
        <v>18</v>
      </c>
      <c r="B13" s="47">
        <v>12</v>
      </c>
      <c r="C13" s="47">
        <v>33000</v>
      </c>
      <c r="D13" s="52">
        <f t="shared" si="0"/>
        <v>396000</v>
      </c>
    </row>
    <row r="14" spans="1:6" x14ac:dyDescent="0.25">
      <c r="A14" s="47" t="s">
        <v>19</v>
      </c>
      <c r="B14" s="47">
        <v>25</v>
      </c>
      <c r="C14" s="47">
        <v>34000</v>
      </c>
      <c r="D14" s="60">
        <f t="shared" si="0"/>
        <v>850000</v>
      </c>
    </row>
    <row r="15" spans="1:6" x14ac:dyDescent="0.25">
      <c r="A15" s="10" t="s">
        <v>62</v>
      </c>
      <c r="B15" s="61"/>
      <c r="C15" s="10">
        <v>24000</v>
      </c>
      <c r="D15" s="1">
        <f t="shared" si="0"/>
        <v>0</v>
      </c>
    </row>
    <row r="16" spans="1:6" x14ac:dyDescent="0.25">
      <c r="A16" s="62" t="s">
        <v>84</v>
      </c>
      <c r="B16" s="63">
        <v>22</v>
      </c>
      <c r="C16" s="62">
        <v>33500</v>
      </c>
      <c r="D16" s="1">
        <f t="shared" si="0"/>
        <v>737000</v>
      </c>
    </row>
    <row r="17" spans="1:5" x14ac:dyDescent="0.25">
      <c r="A17" s="62" t="s">
        <v>8</v>
      </c>
      <c r="B17" s="63"/>
      <c r="C17" s="62">
        <v>35000</v>
      </c>
      <c r="D17" s="1">
        <f t="shared" si="0"/>
        <v>0</v>
      </c>
    </row>
    <row r="18" spans="1:5" x14ac:dyDescent="0.25">
      <c r="A18" s="62" t="s">
        <v>76</v>
      </c>
      <c r="B18" s="63">
        <v>14</v>
      </c>
      <c r="C18" s="62">
        <v>23000</v>
      </c>
      <c r="D18" s="1">
        <f t="shared" si="0"/>
        <v>322000</v>
      </c>
    </row>
    <row r="19" spans="1:5" x14ac:dyDescent="0.25">
      <c r="A19" s="62" t="s">
        <v>81</v>
      </c>
      <c r="B19" s="63"/>
      <c r="C19" s="62">
        <v>30000</v>
      </c>
      <c r="D19" s="1">
        <f t="shared" si="0"/>
        <v>0</v>
      </c>
    </row>
    <row r="20" spans="1:5" x14ac:dyDescent="0.25">
      <c r="A20" s="62" t="s">
        <v>77</v>
      </c>
      <c r="B20" s="63"/>
      <c r="C20" s="62">
        <v>23000</v>
      </c>
      <c r="D20" s="1">
        <f t="shared" si="0"/>
        <v>0</v>
      </c>
    </row>
    <row r="21" spans="1:5" x14ac:dyDescent="0.25">
      <c r="A21" s="62" t="s">
        <v>70</v>
      </c>
      <c r="B21" s="63">
        <v>13</v>
      </c>
      <c r="C21" s="62">
        <v>33000</v>
      </c>
      <c r="D21" s="1">
        <f t="shared" si="0"/>
        <v>429000</v>
      </c>
      <c r="E21" s="1"/>
    </row>
    <row r="22" spans="1:5" x14ac:dyDescent="0.25">
      <c r="A22" s="10" t="s">
        <v>41</v>
      </c>
      <c r="B22" s="61"/>
      <c r="C22" s="10">
        <v>28000</v>
      </c>
      <c r="D22" s="1">
        <f t="shared" si="0"/>
        <v>0</v>
      </c>
    </row>
    <row r="23" spans="1:5" x14ac:dyDescent="0.25">
      <c r="A23" s="47" t="s">
        <v>27</v>
      </c>
      <c r="B23" s="47">
        <v>12</v>
      </c>
      <c r="C23" s="47">
        <v>32000</v>
      </c>
      <c r="D23" s="52">
        <f t="shared" si="0"/>
        <v>384000</v>
      </c>
    </row>
    <row r="24" spans="1:5" x14ac:dyDescent="0.25">
      <c r="A24" s="47" t="s">
        <v>28</v>
      </c>
      <c r="B24" s="47"/>
      <c r="C24" s="47">
        <v>28000</v>
      </c>
      <c r="D24" s="52">
        <f t="shared" si="0"/>
        <v>0</v>
      </c>
    </row>
    <row r="25" spans="1:5" x14ac:dyDescent="0.25">
      <c r="A25" s="47" t="s">
        <v>29</v>
      </c>
      <c r="B25" s="47">
        <v>15</v>
      </c>
      <c r="C25" s="47">
        <v>15000</v>
      </c>
      <c r="D25" s="52">
        <f t="shared" si="0"/>
        <v>225000</v>
      </c>
    </row>
    <row r="26" spans="1:5" x14ac:dyDescent="0.25">
      <c r="A26" t="s">
        <v>74</v>
      </c>
      <c r="D26" s="1">
        <v>320000</v>
      </c>
    </row>
    <row r="27" spans="1:5" x14ac:dyDescent="0.25">
      <c r="A27" s="57" t="s">
        <v>71</v>
      </c>
      <c r="B27" s="57"/>
      <c r="C27" s="59"/>
      <c r="D27" s="58">
        <f>B27*C27</f>
        <v>0</v>
      </c>
    </row>
    <row r="28" spans="1:5" x14ac:dyDescent="0.25">
      <c r="A28" t="s">
        <v>30</v>
      </c>
      <c r="D28" s="1">
        <f>488000+1000000</f>
        <v>1488000</v>
      </c>
    </row>
    <row r="29" spans="1:5" x14ac:dyDescent="0.25">
      <c r="A29" t="s">
        <v>91</v>
      </c>
      <c r="D29" s="1">
        <v>210000</v>
      </c>
    </row>
    <row r="30" spans="1:5" x14ac:dyDescent="0.25">
      <c r="A30" s="19" t="s">
        <v>32</v>
      </c>
      <c r="D30" s="1">
        <v>570000</v>
      </c>
    </row>
    <row r="31" spans="1:5" x14ac:dyDescent="0.25">
      <c r="A31" t="s">
        <v>79</v>
      </c>
      <c r="D31" s="1">
        <v>140000</v>
      </c>
    </row>
    <row r="32" spans="1:5" x14ac:dyDescent="0.25">
      <c r="D32" s="13">
        <f>SUM(D3:D31)</f>
        <v>24962000</v>
      </c>
    </row>
    <row r="199" spans="4:4" x14ac:dyDescent="0.25">
      <c r="D199" s="1">
        <v>41415000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8883-36F4-D944-A964-7B910DAFF4C7}">
  <dimension ref="A2:H199"/>
  <sheetViews>
    <sheetView topLeftCell="D8" zoomScaleNormal="60" zoomScaleSheetLayoutView="100" workbookViewId="0">
      <selection activeCell="H22" sqref="H22"/>
    </sheetView>
  </sheetViews>
  <sheetFormatPr defaultColWidth="8.5703125" defaultRowHeight="15" x14ac:dyDescent="0.25"/>
  <cols>
    <col min="1" max="1" width="15.28515625" customWidth="1"/>
    <col min="5" max="5" width="10.5703125" bestFit="1" customWidth="1"/>
    <col min="6" max="6" width="14" style="1" customWidth="1"/>
    <col min="7" max="7" width="12.140625" customWidth="1"/>
    <col min="8" max="8" width="16.140625" customWidth="1"/>
  </cols>
  <sheetData>
    <row r="2" spans="1:8" x14ac:dyDescent="0.25">
      <c r="A2" t="s">
        <v>1</v>
      </c>
      <c r="B2" t="s">
        <v>2</v>
      </c>
      <c r="C2" t="s">
        <v>88</v>
      </c>
      <c r="D2" t="s">
        <v>89</v>
      </c>
      <c r="E2" t="s">
        <v>3</v>
      </c>
      <c r="F2" s="1" t="s">
        <v>4</v>
      </c>
    </row>
    <row r="3" spans="1:8" x14ac:dyDescent="0.25">
      <c r="G3" s="8" t="s">
        <v>20</v>
      </c>
      <c r="H3" s="9">
        <f>'2021 хисобот 1'!I3</f>
        <v>21818000</v>
      </c>
    </row>
    <row r="4" spans="1:8" x14ac:dyDescent="0.25">
      <c r="A4" s="62" t="s">
        <v>67</v>
      </c>
      <c r="B4" s="63">
        <f>2+60</f>
        <v>62</v>
      </c>
      <c r="C4" s="65">
        <v>8</v>
      </c>
      <c r="D4" s="61">
        <f>B4-C4</f>
        <v>54</v>
      </c>
      <c r="E4" s="64">
        <v>33000</v>
      </c>
      <c r="F4" s="1">
        <f>D4*E4</f>
        <v>1782000</v>
      </c>
    </row>
    <row r="5" spans="1:8" x14ac:dyDescent="0.25">
      <c r="A5" s="47" t="s">
        <v>12</v>
      </c>
      <c r="B5" s="47"/>
      <c r="C5" s="66"/>
      <c r="D5" s="10"/>
      <c r="E5" s="53">
        <v>32000</v>
      </c>
      <c r="F5" s="52"/>
      <c r="G5" s="10" t="s">
        <v>21</v>
      </c>
      <c r="H5" s="11">
        <f>F32</f>
        <v>11029000</v>
      </c>
    </row>
    <row r="6" spans="1:8" x14ac:dyDescent="0.25">
      <c r="A6" s="62" t="s">
        <v>12</v>
      </c>
      <c r="B6" s="63">
        <v>5</v>
      </c>
      <c r="C6" s="65"/>
      <c r="D6" s="61"/>
      <c r="E6" s="64">
        <v>32000</v>
      </c>
    </row>
    <row r="7" spans="1:8" x14ac:dyDescent="0.25">
      <c r="A7" s="10" t="s">
        <v>39</v>
      </c>
      <c r="B7" s="61"/>
      <c r="C7" s="65"/>
      <c r="D7" s="61"/>
      <c r="E7" s="51">
        <v>32000</v>
      </c>
    </row>
    <row r="8" spans="1:8" x14ac:dyDescent="0.25">
      <c r="A8" s="10" t="s">
        <v>65</v>
      </c>
      <c r="B8" s="50"/>
      <c r="C8" s="65"/>
      <c r="D8" s="61"/>
      <c r="E8" s="10">
        <v>11000</v>
      </c>
      <c r="G8" s="12" t="s">
        <v>22</v>
      </c>
      <c r="H8" s="13">
        <f>H3-H5</f>
        <v>10789000</v>
      </c>
    </row>
    <row r="9" spans="1:8" x14ac:dyDescent="0.25">
      <c r="A9" s="62" t="s">
        <v>87</v>
      </c>
      <c r="B9" s="63">
        <f>184+8</f>
        <v>192</v>
      </c>
      <c r="C9" s="65">
        <v>118</v>
      </c>
      <c r="D9" s="61">
        <f>B9-C9</f>
        <v>74</v>
      </c>
      <c r="E9" s="62">
        <v>35000</v>
      </c>
      <c r="F9" s="1">
        <f>D9*E9</f>
        <v>2590000</v>
      </c>
    </row>
    <row r="10" spans="1:8" x14ac:dyDescent="0.25">
      <c r="A10" s="62" t="s">
        <v>69</v>
      </c>
      <c r="B10" s="63">
        <v>38</v>
      </c>
      <c r="C10" s="65">
        <v>28</v>
      </c>
      <c r="D10" s="61">
        <f>B10-C10</f>
        <v>10</v>
      </c>
      <c r="E10" s="62">
        <v>33500</v>
      </c>
      <c r="F10" s="1">
        <f>D10*E10</f>
        <v>335000</v>
      </c>
    </row>
    <row r="11" spans="1:8" x14ac:dyDescent="0.25">
      <c r="A11" s="10" t="s">
        <v>63</v>
      </c>
      <c r="B11" s="50"/>
      <c r="C11" s="65"/>
      <c r="D11" s="61"/>
      <c r="E11" s="10">
        <v>13000</v>
      </c>
    </row>
    <row r="12" spans="1:8" x14ac:dyDescent="0.25">
      <c r="A12" s="10" t="s">
        <v>51</v>
      </c>
      <c r="B12" s="61"/>
      <c r="C12" s="65"/>
      <c r="D12" s="61"/>
      <c r="E12" s="10">
        <v>26000</v>
      </c>
    </row>
    <row r="13" spans="1:8" x14ac:dyDescent="0.25">
      <c r="A13" s="47" t="s">
        <v>18</v>
      </c>
      <c r="B13" s="47">
        <v>14</v>
      </c>
      <c r="C13" s="66"/>
      <c r="D13" s="10"/>
      <c r="E13" s="47">
        <v>33000</v>
      </c>
      <c r="F13" s="52"/>
    </row>
    <row r="14" spans="1:8" x14ac:dyDescent="0.25">
      <c r="A14" s="47" t="s">
        <v>19</v>
      </c>
      <c r="B14" s="47">
        <v>29</v>
      </c>
      <c r="C14" s="66"/>
      <c r="D14" s="10"/>
      <c r="E14" s="47">
        <v>34000</v>
      </c>
      <c r="F14" s="60"/>
    </row>
    <row r="15" spans="1:8" x14ac:dyDescent="0.25">
      <c r="A15" s="10" t="s">
        <v>62</v>
      </c>
      <c r="B15" s="61"/>
      <c r="C15" s="65"/>
      <c r="D15" s="61"/>
      <c r="E15" s="10">
        <v>24000</v>
      </c>
    </row>
    <row r="16" spans="1:8" x14ac:dyDescent="0.25">
      <c r="A16" s="62" t="s">
        <v>84</v>
      </c>
      <c r="B16" s="63">
        <f>46+82</f>
        <v>128</v>
      </c>
      <c r="C16" s="65">
        <v>40</v>
      </c>
      <c r="D16" s="61">
        <f>B16-C16</f>
        <v>88</v>
      </c>
      <c r="E16" s="62">
        <v>33500</v>
      </c>
      <c r="F16" s="1">
        <f>D16*E16</f>
        <v>2948000</v>
      </c>
    </row>
    <row r="17" spans="1:7" x14ac:dyDescent="0.25">
      <c r="A17" s="62" t="s">
        <v>8</v>
      </c>
      <c r="B17" s="63">
        <f>52+76</f>
        <v>128</v>
      </c>
      <c r="C17" s="65">
        <v>40</v>
      </c>
      <c r="D17" s="61">
        <f>B17-C17</f>
        <v>88</v>
      </c>
      <c r="E17" s="62">
        <v>35000</v>
      </c>
      <c r="F17" s="1">
        <f>D17*E17</f>
        <v>3080000</v>
      </c>
    </row>
    <row r="18" spans="1:7" x14ac:dyDescent="0.25">
      <c r="A18" s="62" t="s">
        <v>76</v>
      </c>
      <c r="B18" s="63">
        <v>13</v>
      </c>
      <c r="C18" s="65"/>
      <c r="D18" s="61"/>
      <c r="E18" s="62">
        <v>23000</v>
      </c>
    </row>
    <row r="19" spans="1:7" x14ac:dyDescent="0.25">
      <c r="A19" s="62" t="s">
        <v>81</v>
      </c>
      <c r="B19" s="63"/>
      <c r="C19" s="65"/>
      <c r="D19" s="61"/>
      <c r="E19" s="62">
        <v>30000</v>
      </c>
    </row>
    <row r="20" spans="1:7" x14ac:dyDescent="0.25">
      <c r="A20" s="62" t="s">
        <v>77</v>
      </c>
      <c r="B20" s="63"/>
      <c r="C20" s="65"/>
      <c r="D20" s="61"/>
      <c r="E20" s="62">
        <v>23000</v>
      </c>
    </row>
    <row r="21" spans="1:7" x14ac:dyDescent="0.25">
      <c r="A21" s="62" t="s">
        <v>70</v>
      </c>
      <c r="B21" s="63">
        <v>20</v>
      </c>
      <c r="C21" s="65">
        <v>14</v>
      </c>
      <c r="D21" s="61">
        <f>B21-C21</f>
        <v>6</v>
      </c>
      <c r="E21" s="62">
        <v>33000</v>
      </c>
      <c r="F21" s="1">
        <f>D21*E21</f>
        <v>198000</v>
      </c>
      <c r="G21" s="1"/>
    </row>
    <row r="22" spans="1:7" x14ac:dyDescent="0.25">
      <c r="A22" s="10" t="s">
        <v>41</v>
      </c>
      <c r="B22" s="61"/>
      <c r="C22" s="65"/>
      <c r="D22" s="61"/>
      <c r="E22" s="10">
        <v>28000</v>
      </c>
    </row>
    <row r="23" spans="1:7" x14ac:dyDescent="0.25">
      <c r="A23" s="47" t="s">
        <v>27</v>
      </c>
      <c r="B23" s="47">
        <v>15</v>
      </c>
      <c r="C23" s="66">
        <v>12</v>
      </c>
      <c r="D23" s="10">
        <f>B23-C23</f>
        <v>3</v>
      </c>
      <c r="E23" s="47">
        <v>32000</v>
      </c>
      <c r="F23" s="52">
        <f>D23*E23</f>
        <v>96000</v>
      </c>
    </row>
    <row r="24" spans="1:7" x14ac:dyDescent="0.25">
      <c r="A24" s="47" t="s">
        <v>28</v>
      </c>
      <c r="B24" s="47"/>
      <c r="C24" s="66"/>
      <c r="D24" s="10"/>
      <c r="E24" s="47">
        <v>28000</v>
      </c>
      <c r="F24" s="52"/>
    </row>
    <row r="25" spans="1:7" x14ac:dyDescent="0.25">
      <c r="A25" s="47" t="s">
        <v>29</v>
      </c>
      <c r="B25" s="47">
        <v>15</v>
      </c>
      <c r="C25" s="66"/>
      <c r="D25" s="10"/>
      <c r="E25" s="47">
        <v>15000</v>
      </c>
      <c r="F25" s="52"/>
    </row>
    <row r="26" spans="1:7" x14ac:dyDescent="0.25">
      <c r="A26" t="s">
        <v>74</v>
      </c>
      <c r="C26" s="66"/>
      <c r="D26" s="10"/>
    </row>
    <row r="27" spans="1:7" x14ac:dyDescent="0.25">
      <c r="A27" s="57" t="s">
        <v>71</v>
      </c>
      <c r="B27" s="57"/>
      <c r="C27" s="66"/>
      <c r="D27" s="10"/>
      <c r="E27" s="59"/>
      <c r="F27" s="58"/>
    </row>
    <row r="28" spans="1:7" x14ac:dyDescent="0.25">
      <c r="A28" t="s">
        <v>30</v>
      </c>
    </row>
    <row r="29" spans="1:7" x14ac:dyDescent="0.25">
      <c r="A29" t="s">
        <v>82</v>
      </c>
    </row>
    <row r="30" spans="1:7" x14ac:dyDescent="0.25">
      <c r="A30" s="19" t="s">
        <v>32</v>
      </c>
    </row>
    <row r="31" spans="1:7" x14ac:dyDescent="0.25">
      <c r="A31" t="s">
        <v>79</v>
      </c>
    </row>
    <row r="32" spans="1:7" x14ac:dyDescent="0.25">
      <c r="F32" s="13">
        <f>SUM(F3:F31)</f>
        <v>11029000</v>
      </c>
    </row>
    <row r="199" spans="6:6" x14ac:dyDescent="0.25">
      <c r="F199" s="1">
        <v>41415000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F8C90-0801-7845-B840-C2D71D19384D}">
  <dimension ref="A2:F199"/>
  <sheetViews>
    <sheetView zoomScaleNormal="60" zoomScaleSheetLayoutView="100" workbookViewId="0">
      <selection activeCell="C36" sqref="C36"/>
    </sheetView>
  </sheetViews>
  <sheetFormatPr defaultRowHeight="15" x14ac:dyDescent="0.25"/>
  <cols>
    <col min="1" max="1" width="15.28515625" customWidth="1"/>
    <col min="3" max="3" width="10.5703125" bestFit="1" customWidth="1"/>
    <col min="4" max="4" width="14" style="1" customWidth="1"/>
    <col min="5" max="5" width="12.140625" customWidth="1"/>
    <col min="6" max="6" width="16.140625" customWidth="1"/>
  </cols>
  <sheetData>
    <row r="2" spans="1:6" x14ac:dyDescent="0.25">
      <c r="A2" t="s">
        <v>1</v>
      </c>
      <c r="B2" t="s">
        <v>2</v>
      </c>
      <c r="C2" t="s">
        <v>3</v>
      </c>
      <c r="D2" s="1" t="s">
        <v>4</v>
      </c>
    </row>
    <row r="3" spans="1:6" x14ac:dyDescent="0.25">
      <c r="E3" s="8" t="s">
        <v>20</v>
      </c>
      <c r="F3" s="9">
        <f>'2021 хисобот 1'!I3</f>
        <v>21818000</v>
      </c>
    </row>
    <row r="4" spans="1:6" x14ac:dyDescent="0.25">
      <c r="A4" s="62" t="s">
        <v>67</v>
      </c>
      <c r="B4" s="63">
        <v>234</v>
      </c>
      <c r="C4" s="64">
        <v>33000</v>
      </c>
      <c r="D4" s="1">
        <f t="shared" ref="D4:D13" si="0">B4*C4</f>
        <v>7722000</v>
      </c>
    </row>
    <row r="5" spans="1:6" x14ac:dyDescent="0.25">
      <c r="A5" s="47" t="s">
        <v>12</v>
      </c>
      <c r="B5" s="47">
        <v>10</v>
      </c>
      <c r="C5" s="53">
        <v>32000</v>
      </c>
      <c r="D5" s="52">
        <f t="shared" si="0"/>
        <v>320000</v>
      </c>
      <c r="E5" s="10" t="s">
        <v>21</v>
      </c>
      <c r="F5" s="11">
        <f>D32</f>
        <v>25772000</v>
      </c>
    </row>
    <row r="6" spans="1:6" x14ac:dyDescent="0.25">
      <c r="A6" s="62" t="s">
        <v>12</v>
      </c>
      <c r="B6" s="63">
        <v>42</v>
      </c>
      <c r="C6" s="64">
        <v>32000</v>
      </c>
      <c r="D6" s="1">
        <f t="shared" si="0"/>
        <v>1344000</v>
      </c>
    </row>
    <row r="7" spans="1:6" x14ac:dyDescent="0.25">
      <c r="A7" s="10" t="s">
        <v>39</v>
      </c>
      <c r="B7" s="61">
        <v>20</v>
      </c>
      <c r="C7" s="51">
        <v>32000</v>
      </c>
      <c r="D7" s="1">
        <f t="shared" si="0"/>
        <v>640000</v>
      </c>
    </row>
    <row r="8" spans="1:6" x14ac:dyDescent="0.25">
      <c r="A8" s="10" t="s">
        <v>65</v>
      </c>
      <c r="B8" s="50"/>
      <c r="C8" s="10">
        <v>11000</v>
      </c>
      <c r="D8" s="1">
        <f t="shared" si="0"/>
        <v>0</v>
      </c>
      <c r="E8" s="12" t="s">
        <v>22</v>
      </c>
      <c r="F8" s="13">
        <f>F3-F5</f>
        <v>-3954000</v>
      </c>
    </row>
    <row r="9" spans="1:6" x14ac:dyDescent="0.25">
      <c r="A9" s="10" t="s">
        <v>49</v>
      </c>
      <c r="B9" s="61">
        <v>16</v>
      </c>
      <c r="C9" s="10">
        <v>25000</v>
      </c>
      <c r="D9" s="1">
        <f t="shared" si="0"/>
        <v>400000</v>
      </c>
    </row>
    <row r="10" spans="1:6" x14ac:dyDescent="0.25">
      <c r="A10" s="62" t="s">
        <v>69</v>
      </c>
      <c r="B10" s="63">
        <v>50</v>
      </c>
      <c r="C10" s="62">
        <v>33500</v>
      </c>
      <c r="D10" s="1">
        <f t="shared" si="0"/>
        <v>1675000</v>
      </c>
    </row>
    <row r="11" spans="1:6" x14ac:dyDescent="0.25">
      <c r="A11" s="10" t="s">
        <v>63</v>
      </c>
      <c r="B11" s="50"/>
      <c r="C11" s="10">
        <v>13000</v>
      </c>
      <c r="D11" s="1">
        <f t="shared" si="0"/>
        <v>0</v>
      </c>
    </row>
    <row r="12" spans="1:6" x14ac:dyDescent="0.25">
      <c r="A12" s="10" t="s">
        <v>51</v>
      </c>
      <c r="B12" s="61">
        <v>34</v>
      </c>
      <c r="C12" s="10">
        <v>26000</v>
      </c>
      <c r="D12" s="1">
        <f t="shared" si="0"/>
        <v>884000</v>
      </c>
    </row>
    <row r="13" spans="1:6" x14ac:dyDescent="0.25">
      <c r="A13" s="47" t="s">
        <v>18</v>
      </c>
      <c r="B13" s="47">
        <v>18</v>
      </c>
      <c r="C13" s="47">
        <v>33000</v>
      </c>
      <c r="D13" s="52">
        <f t="shared" si="0"/>
        <v>594000</v>
      </c>
    </row>
    <row r="14" spans="1:6" x14ac:dyDescent="0.25">
      <c r="A14" s="47" t="s">
        <v>19</v>
      </c>
      <c r="B14" s="47">
        <v>38</v>
      </c>
      <c r="C14" s="47">
        <v>34000</v>
      </c>
      <c r="D14" s="60">
        <f>B14*C14-67000</f>
        <v>1225000</v>
      </c>
    </row>
    <row r="15" spans="1:6" x14ac:dyDescent="0.25">
      <c r="A15" s="10" t="s">
        <v>62</v>
      </c>
      <c r="B15" s="61">
        <v>2</v>
      </c>
      <c r="C15" s="10">
        <v>24000</v>
      </c>
      <c r="D15" s="1">
        <f t="shared" ref="D15:D25" si="1">B15*C15</f>
        <v>48000</v>
      </c>
    </row>
    <row r="16" spans="1:6" x14ac:dyDescent="0.25">
      <c r="A16" s="10" t="s">
        <v>52</v>
      </c>
      <c r="B16" s="61">
        <v>12</v>
      </c>
      <c r="C16" s="10">
        <v>24000</v>
      </c>
      <c r="D16" s="1">
        <f t="shared" si="1"/>
        <v>288000</v>
      </c>
    </row>
    <row r="17" spans="1:5" x14ac:dyDescent="0.25">
      <c r="A17" s="62" t="s">
        <v>8</v>
      </c>
      <c r="B17" s="63">
        <v>28</v>
      </c>
      <c r="C17" s="62">
        <v>35000</v>
      </c>
      <c r="D17" s="1">
        <f t="shared" si="1"/>
        <v>980000</v>
      </c>
    </row>
    <row r="18" spans="1:5" x14ac:dyDescent="0.25">
      <c r="A18" s="62" t="s">
        <v>76</v>
      </c>
      <c r="B18" s="63">
        <v>10</v>
      </c>
      <c r="C18" s="62">
        <v>23000</v>
      </c>
      <c r="D18" s="1">
        <f t="shared" si="1"/>
        <v>230000</v>
      </c>
    </row>
    <row r="19" spans="1:5" x14ac:dyDescent="0.25">
      <c r="A19" s="10" t="s">
        <v>48</v>
      </c>
      <c r="B19" s="61">
        <v>18</v>
      </c>
      <c r="C19" s="10">
        <v>20000</v>
      </c>
      <c r="D19" s="1">
        <f t="shared" si="1"/>
        <v>360000</v>
      </c>
    </row>
    <row r="20" spans="1:5" x14ac:dyDescent="0.25">
      <c r="A20" s="62" t="s">
        <v>77</v>
      </c>
      <c r="B20" s="63">
        <v>14</v>
      </c>
      <c r="C20" s="62">
        <v>23000</v>
      </c>
      <c r="D20" s="1">
        <f t="shared" si="1"/>
        <v>322000</v>
      </c>
    </row>
    <row r="21" spans="1:5" x14ac:dyDescent="0.25">
      <c r="A21" s="62" t="s">
        <v>70</v>
      </c>
      <c r="B21" s="63">
        <v>145</v>
      </c>
      <c r="C21" s="62">
        <v>33000</v>
      </c>
      <c r="D21" s="1">
        <f t="shared" si="1"/>
        <v>4785000</v>
      </c>
      <c r="E21" s="1"/>
    </row>
    <row r="22" spans="1:5" x14ac:dyDescent="0.25">
      <c r="A22" s="10" t="s">
        <v>41</v>
      </c>
      <c r="B22" s="61">
        <v>10</v>
      </c>
      <c r="C22" s="10">
        <v>28000</v>
      </c>
      <c r="D22" s="1">
        <f t="shared" si="1"/>
        <v>280000</v>
      </c>
    </row>
    <row r="23" spans="1:5" x14ac:dyDescent="0.25">
      <c r="A23" s="47" t="s">
        <v>27</v>
      </c>
      <c r="B23" s="47">
        <v>15</v>
      </c>
      <c r="C23" s="47">
        <v>32000</v>
      </c>
      <c r="D23" s="52">
        <f t="shared" si="1"/>
        <v>480000</v>
      </c>
    </row>
    <row r="24" spans="1:5" x14ac:dyDescent="0.25">
      <c r="A24" s="47" t="s">
        <v>28</v>
      </c>
      <c r="B24" s="47">
        <v>2</v>
      </c>
      <c r="C24" s="47">
        <v>28000</v>
      </c>
      <c r="D24" s="52">
        <f t="shared" si="1"/>
        <v>56000</v>
      </c>
    </row>
    <row r="25" spans="1:5" x14ac:dyDescent="0.25">
      <c r="A25" s="47" t="s">
        <v>29</v>
      </c>
      <c r="B25" s="47">
        <v>15</v>
      </c>
      <c r="C25" s="47">
        <v>15000</v>
      </c>
      <c r="D25" s="52">
        <f t="shared" si="1"/>
        <v>225000</v>
      </c>
    </row>
    <row r="26" spans="1:5" x14ac:dyDescent="0.25">
      <c r="A26" t="s">
        <v>74</v>
      </c>
      <c r="D26" s="1">
        <v>320000</v>
      </c>
    </row>
    <row r="27" spans="1:5" x14ac:dyDescent="0.25">
      <c r="A27" s="57" t="s">
        <v>71</v>
      </c>
      <c r="B27" s="57"/>
      <c r="C27" s="59"/>
      <c r="D27" s="58">
        <f>B27*C27</f>
        <v>0</v>
      </c>
    </row>
    <row r="28" spans="1:5" x14ac:dyDescent="0.25">
      <c r="A28" t="s">
        <v>30</v>
      </c>
      <c r="D28" s="1">
        <f>488000+1000000</f>
        <v>1488000</v>
      </c>
    </row>
    <row r="29" spans="1:5" x14ac:dyDescent="0.25">
      <c r="A29" t="s">
        <v>35</v>
      </c>
      <c r="D29" s="1">
        <v>400000</v>
      </c>
    </row>
    <row r="30" spans="1:5" x14ac:dyDescent="0.25">
      <c r="A30" s="19" t="s">
        <v>32</v>
      </c>
      <c r="D30" s="1">
        <v>570000</v>
      </c>
    </row>
    <row r="31" spans="1:5" x14ac:dyDescent="0.25">
      <c r="A31" t="s">
        <v>79</v>
      </c>
      <c r="D31" s="1">
        <v>136000</v>
      </c>
    </row>
    <row r="32" spans="1:5" x14ac:dyDescent="0.25">
      <c r="D32" s="13">
        <f>SUM(D3:D31)</f>
        <v>25772000</v>
      </c>
    </row>
    <row r="199" spans="4:4" x14ac:dyDescent="0.25">
      <c r="D199" s="1">
        <v>41415000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3FD1-1E8F-2E4B-9ED8-18FC18E9903D}">
  <dimension ref="A1:F198"/>
  <sheetViews>
    <sheetView topLeftCell="A11" zoomScaleNormal="60" zoomScaleSheetLayoutView="100" workbookViewId="0">
      <selection activeCell="D23" sqref="D23"/>
    </sheetView>
  </sheetViews>
  <sheetFormatPr defaultRowHeight="15" x14ac:dyDescent="0.25"/>
  <cols>
    <col min="1" max="1" width="18.85546875" customWidth="1"/>
    <col min="4" max="4" width="14.28515625" customWidth="1"/>
    <col min="5" max="5" width="12.7109375" customWidth="1"/>
    <col min="6" max="6" width="13.7109375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</row>
    <row r="2" spans="1:6" x14ac:dyDescent="0.25">
      <c r="E2" t="s">
        <v>20</v>
      </c>
      <c r="F2" s="7">
        <v>51980000</v>
      </c>
    </row>
    <row r="3" spans="1:6" x14ac:dyDescent="0.25">
      <c r="A3" t="s">
        <v>67</v>
      </c>
      <c r="C3" s="7">
        <v>33000</v>
      </c>
      <c r="D3" s="7"/>
    </row>
    <row r="4" spans="1:6" x14ac:dyDescent="0.25">
      <c r="A4" t="s">
        <v>12</v>
      </c>
      <c r="C4" s="7">
        <v>32000</v>
      </c>
      <c r="D4" s="7"/>
      <c r="E4" t="s">
        <v>21</v>
      </c>
      <c r="F4" s="7">
        <v>28483000</v>
      </c>
    </row>
    <row r="5" spans="1:6" x14ac:dyDescent="0.25">
      <c r="A5" t="s">
        <v>59</v>
      </c>
      <c r="B5">
        <v>81</v>
      </c>
      <c r="C5" s="7">
        <v>21000</v>
      </c>
      <c r="D5" s="7">
        <f>B5*C5</f>
        <v>1701000</v>
      </c>
    </row>
    <row r="6" spans="1:6" x14ac:dyDescent="0.25">
      <c r="A6" t="s">
        <v>39</v>
      </c>
      <c r="C6" s="7">
        <v>32000</v>
      </c>
      <c r="D6" s="7"/>
    </row>
    <row r="7" spans="1:6" x14ac:dyDescent="0.25">
      <c r="A7" t="s">
        <v>65</v>
      </c>
      <c r="B7">
        <v>69</v>
      </c>
      <c r="C7">
        <v>11000</v>
      </c>
      <c r="D7" s="7">
        <f>B7*C7</f>
        <v>759000</v>
      </c>
      <c r="E7" t="s">
        <v>22</v>
      </c>
      <c r="F7" s="7">
        <v>23497000</v>
      </c>
    </row>
    <row r="8" spans="1:6" x14ac:dyDescent="0.25">
      <c r="A8" t="s">
        <v>49</v>
      </c>
      <c r="C8">
        <v>25000</v>
      </c>
      <c r="D8" s="7"/>
    </row>
    <row r="9" spans="1:6" x14ac:dyDescent="0.25">
      <c r="A9" t="s">
        <v>69</v>
      </c>
      <c r="C9">
        <v>33500</v>
      </c>
      <c r="D9" s="7"/>
    </row>
    <row r="10" spans="1:6" x14ac:dyDescent="0.25">
      <c r="A10" t="s">
        <v>63</v>
      </c>
      <c r="B10">
        <v>273</v>
      </c>
      <c r="C10">
        <v>13000</v>
      </c>
      <c r="D10" s="7">
        <f>B10*C10</f>
        <v>3549000</v>
      </c>
    </row>
    <row r="11" spans="1:6" x14ac:dyDescent="0.25">
      <c r="A11" t="s">
        <v>51</v>
      </c>
      <c r="C11">
        <v>26000</v>
      </c>
      <c r="D11" s="7"/>
    </row>
    <row r="12" spans="1:6" x14ac:dyDescent="0.25">
      <c r="A12" t="s">
        <v>18</v>
      </c>
      <c r="C12">
        <v>33000</v>
      </c>
      <c r="D12" s="7"/>
    </row>
    <row r="13" spans="1:6" x14ac:dyDescent="0.25">
      <c r="A13" t="s">
        <v>19</v>
      </c>
      <c r="C13">
        <v>34000</v>
      </c>
      <c r="D13" s="7"/>
    </row>
    <row r="14" spans="1:6" x14ac:dyDescent="0.25">
      <c r="A14" t="s">
        <v>62</v>
      </c>
      <c r="C14">
        <v>24000</v>
      </c>
      <c r="D14" s="7"/>
    </row>
    <row r="15" spans="1:6" x14ac:dyDescent="0.25">
      <c r="A15" t="s">
        <v>52</v>
      </c>
      <c r="B15">
        <f>77*2</f>
        <v>154</v>
      </c>
      <c r="C15">
        <v>24000</v>
      </c>
      <c r="D15" s="7">
        <f>B15*C15</f>
        <v>3696000</v>
      </c>
    </row>
    <row r="16" spans="1:6" x14ac:dyDescent="0.25">
      <c r="A16" t="s">
        <v>61</v>
      </c>
      <c r="B16">
        <v>24</v>
      </c>
      <c r="C16">
        <v>24000</v>
      </c>
      <c r="D16" s="7">
        <f>B16*C16</f>
        <v>576000</v>
      </c>
    </row>
    <row r="17" spans="1:4" x14ac:dyDescent="0.25">
      <c r="A17" t="s">
        <v>43</v>
      </c>
      <c r="B17">
        <f>18*3</f>
        <v>54</v>
      </c>
      <c r="C17">
        <v>17000</v>
      </c>
      <c r="D17" s="7">
        <f>B17*C17</f>
        <v>918000</v>
      </c>
    </row>
    <row r="18" spans="1:4" x14ac:dyDescent="0.25">
      <c r="A18" t="s">
        <v>48</v>
      </c>
      <c r="B18">
        <f>73*2</f>
        <v>146</v>
      </c>
      <c r="C18">
        <v>20000</v>
      </c>
      <c r="D18" s="7">
        <f>B18*C18</f>
        <v>2920000</v>
      </c>
    </row>
    <row r="19" spans="1:4" x14ac:dyDescent="0.25">
      <c r="A19" t="s">
        <v>40</v>
      </c>
      <c r="B19">
        <f>44*2</f>
        <v>88</v>
      </c>
      <c r="C19">
        <v>24000</v>
      </c>
      <c r="D19" s="7">
        <f>B19*C19</f>
        <v>2112000</v>
      </c>
    </row>
    <row r="20" spans="1:4" x14ac:dyDescent="0.25">
      <c r="A20" t="s">
        <v>70</v>
      </c>
      <c r="C20">
        <v>33000</v>
      </c>
    </row>
    <row r="21" spans="1:4" x14ac:dyDescent="0.25">
      <c r="A21" t="s">
        <v>41</v>
      </c>
      <c r="C21">
        <v>28000</v>
      </c>
      <c r="D21" s="7"/>
    </row>
    <row r="22" spans="1:4" x14ac:dyDescent="0.25">
      <c r="A22" t="s">
        <v>27</v>
      </c>
      <c r="C22">
        <v>32000</v>
      </c>
      <c r="D22" s="7"/>
    </row>
    <row r="23" spans="1:4" x14ac:dyDescent="0.25">
      <c r="A23" t="s">
        <v>28</v>
      </c>
      <c r="C23">
        <v>28000</v>
      </c>
      <c r="D23" s="7"/>
    </row>
    <row r="24" spans="1:4" x14ac:dyDescent="0.25">
      <c r="A24" t="s">
        <v>29</v>
      </c>
      <c r="C24">
        <v>15000</v>
      </c>
      <c r="D24" s="7"/>
    </row>
    <row r="27" spans="1:4" x14ac:dyDescent="0.25">
      <c r="D27" s="7"/>
    </row>
    <row r="28" spans="1:4" x14ac:dyDescent="0.25">
      <c r="D28" s="7"/>
    </row>
    <row r="29" spans="1:4" x14ac:dyDescent="0.25">
      <c r="D29" s="7"/>
    </row>
    <row r="31" spans="1:4" x14ac:dyDescent="0.25">
      <c r="D31" s="7"/>
    </row>
    <row r="198" spans="4:4" x14ac:dyDescent="0.25">
      <c r="D198" s="7">
        <v>41415000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2ED02-817E-5B42-B6A1-3CECDC6632C6}">
  <dimension ref="A1:J200"/>
  <sheetViews>
    <sheetView topLeftCell="A85" zoomScaleNormal="60" zoomScaleSheetLayoutView="100" workbookViewId="0">
      <selection activeCell="E30" sqref="E30"/>
    </sheetView>
  </sheetViews>
  <sheetFormatPr defaultRowHeight="15" x14ac:dyDescent="0.25"/>
  <cols>
    <col min="1" max="1" width="10.28515625" bestFit="1" customWidth="1"/>
    <col min="2" max="2" width="18.5703125" customWidth="1"/>
    <col min="3" max="3" width="8.5703125" style="22"/>
    <col min="4" max="4" width="8.5703125" style="20"/>
    <col min="5" max="5" width="11.42578125" style="20" bestFit="1" customWidth="1"/>
    <col min="6" max="6" width="10.7109375" style="24" customWidth="1"/>
    <col min="7" max="7" width="11.42578125" style="25" bestFit="1" customWidth="1"/>
    <col min="9" max="9" width="13.7109375" customWidth="1"/>
    <col min="10" max="10" width="14.5703125" customWidth="1"/>
  </cols>
  <sheetData>
    <row r="1" spans="1:10" s="28" customFormat="1" ht="15.75" thickBot="1" x14ac:dyDescent="0.3">
      <c r="A1" s="107" t="s">
        <v>5</v>
      </c>
      <c r="B1" s="108"/>
      <c r="C1" s="108"/>
      <c r="D1" s="108"/>
      <c r="E1" s="109"/>
      <c r="F1" s="107" t="s">
        <v>6</v>
      </c>
      <c r="G1" s="109"/>
      <c r="I1" s="28" t="s">
        <v>10</v>
      </c>
    </row>
    <row r="2" spans="1:10" s="34" customFormat="1" ht="15.75" thickBot="1" x14ac:dyDescent="0.3">
      <c r="A2" s="35" t="s">
        <v>0</v>
      </c>
      <c r="B2" s="34" t="s">
        <v>1</v>
      </c>
      <c r="C2" s="33" t="s">
        <v>2</v>
      </c>
      <c r="D2" s="34" t="s">
        <v>3</v>
      </c>
      <c r="E2" s="34" t="s">
        <v>4</v>
      </c>
      <c r="F2" s="35" t="s">
        <v>0</v>
      </c>
      <c r="G2" s="36" t="s">
        <v>4</v>
      </c>
      <c r="I2" s="37" t="s">
        <v>11</v>
      </c>
      <c r="J2" s="38"/>
    </row>
    <row r="3" spans="1:10" ht="15.75" thickBot="1" x14ac:dyDescent="0.3">
      <c r="A3" s="39" t="s">
        <v>7</v>
      </c>
      <c r="B3" s="39"/>
      <c r="C3" s="40"/>
      <c r="D3" s="41"/>
      <c r="E3" s="42">
        <v>26928500</v>
      </c>
      <c r="F3" s="26">
        <v>44313</v>
      </c>
      <c r="G3" s="27">
        <v>2900000</v>
      </c>
      <c r="I3" s="118">
        <f>E199-G199</f>
        <v>13091000</v>
      </c>
      <c r="J3" s="119"/>
    </row>
    <row r="4" spans="1:10" x14ac:dyDescent="0.25">
      <c r="A4" s="21">
        <v>44312</v>
      </c>
      <c r="B4" t="s">
        <v>46</v>
      </c>
      <c r="C4" s="22">
        <v>136</v>
      </c>
      <c r="D4" s="23">
        <v>28000</v>
      </c>
      <c r="E4" s="23">
        <f t="shared" ref="E4:E15" si="0">C4*D4</f>
        <v>3808000</v>
      </c>
      <c r="F4" s="26">
        <v>44314</v>
      </c>
      <c r="G4" s="27">
        <v>4060000</v>
      </c>
    </row>
    <row r="5" spans="1:10" ht="15.75" thickBot="1" x14ac:dyDescent="0.3">
      <c r="A5" s="21">
        <v>44312</v>
      </c>
      <c r="B5" t="s">
        <v>39</v>
      </c>
      <c r="C5" s="22">
        <v>2</v>
      </c>
      <c r="D5" s="23">
        <v>35000</v>
      </c>
      <c r="E5" s="20">
        <f t="shared" si="0"/>
        <v>70000</v>
      </c>
      <c r="F5" s="26">
        <v>44315</v>
      </c>
      <c r="G5" s="27">
        <v>3400000</v>
      </c>
    </row>
    <row r="6" spans="1:10" ht="15.75" thickBot="1" x14ac:dyDescent="0.3">
      <c r="A6" s="21">
        <v>44312</v>
      </c>
      <c r="B6" t="s">
        <v>44</v>
      </c>
      <c r="C6" s="22">
        <v>2</v>
      </c>
      <c r="D6" s="23">
        <v>28000</v>
      </c>
      <c r="E6" s="23">
        <f t="shared" si="0"/>
        <v>56000</v>
      </c>
      <c r="F6" s="26">
        <v>44316</v>
      </c>
      <c r="G6" s="27">
        <v>780000</v>
      </c>
      <c r="I6" s="31" t="s">
        <v>14</v>
      </c>
      <c r="J6" s="32">
        <f>'ост.янги архив'!F5</f>
        <v>25772000</v>
      </c>
    </row>
    <row r="7" spans="1:10" ht="15.75" thickBot="1" x14ac:dyDescent="0.3">
      <c r="A7" s="21">
        <v>44312</v>
      </c>
      <c r="B7" t="s">
        <v>41</v>
      </c>
      <c r="C7" s="22">
        <v>4</v>
      </c>
      <c r="D7" s="23">
        <v>30000</v>
      </c>
      <c r="E7" s="23">
        <f t="shared" si="0"/>
        <v>120000</v>
      </c>
      <c r="F7" s="26">
        <v>44317</v>
      </c>
      <c r="G7" s="27">
        <v>3212000</v>
      </c>
    </row>
    <row r="8" spans="1:10" ht="15.75" thickBot="1" x14ac:dyDescent="0.3">
      <c r="A8" s="21">
        <v>44312</v>
      </c>
      <c r="B8" t="s">
        <v>47</v>
      </c>
      <c r="C8" s="22">
        <v>50</v>
      </c>
      <c r="D8" s="23">
        <v>27000</v>
      </c>
      <c r="E8" s="23">
        <f t="shared" si="0"/>
        <v>1350000</v>
      </c>
      <c r="F8" s="26">
        <v>44318</v>
      </c>
      <c r="G8" s="27">
        <v>4870000</v>
      </c>
      <c r="I8" s="29" t="s">
        <v>15</v>
      </c>
      <c r="J8" s="30">
        <f>I3-J6</f>
        <v>-12681000</v>
      </c>
    </row>
    <row r="9" spans="1:10" x14ac:dyDescent="0.25">
      <c r="A9" s="21">
        <v>44313</v>
      </c>
      <c r="B9" t="s">
        <v>41</v>
      </c>
      <c r="C9" s="22">
        <v>42</v>
      </c>
      <c r="D9" s="23">
        <v>30000</v>
      </c>
      <c r="E9" s="23">
        <f t="shared" si="0"/>
        <v>1260000</v>
      </c>
      <c r="F9" s="26"/>
      <c r="G9" s="27"/>
    </row>
    <row r="10" spans="1:10" ht="15.75" thickBot="1" x14ac:dyDescent="0.3">
      <c r="A10" s="43">
        <v>44314</v>
      </c>
      <c r="B10" t="s">
        <v>41</v>
      </c>
      <c r="C10" s="22">
        <v>182</v>
      </c>
      <c r="D10" s="20">
        <v>30000</v>
      </c>
      <c r="E10" s="20">
        <f t="shared" si="0"/>
        <v>5460000</v>
      </c>
      <c r="F10" s="26">
        <v>44320</v>
      </c>
      <c r="G10" s="27">
        <v>8131000</v>
      </c>
    </row>
    <row r="11" spans="1:10" ht="15.75" thickBot="1" x14ac:dyDescent="0.3">
      <c r="A11" s="21">
        <v>44314</v>
      </c>
      <c r="B11" t="s">
        <v>47</v>
      </c>
      <c r="C11" s="22">
        <v>84</v>
      </c>
      <c r="D11" s="23">
        <v>27000</v>
      </c>
      <c r="E11" s="23">
        <f t="shared" si="0"/>
        <v>2268000</v>
      </c>
      <c r="F11" s="26">
        <v>44321</v>
      </c>
      <c r="G11" s="27">
        <v>4000000</v>
      </c>
      <c r="I11" s="54" t="s">
        <v>66</v>
      </c>
      <c r="J11" s="55"/>
    </row>
    <row r="12" spans="1:10" x14ac:dyDescent="0.25">
      <c r="A12" s="21">
        <v>44316</v>
      </c>
      <c r="B12" t="s">
        <v>41</v>
      </c>
      <c r="C12" s="22">
        <v>146</v>
      </c>
      <c r="D12" s="23">
        <v>30000</v>
      </c>
      <c r="E12" s="23">
        <f t="shared" si="0"/>
        <v>4380000</v>
      </c>
      <c r="F12" s="26">
        <v>44322</v>
      </c>
      <c r="G12" s="27">
        <v>6000000</v>
      </c>
    </row>
    <row r="13" spans="1:10" x14ac:dyDescent="0.25">
      <c r="A13" s="21">
        <v>44316</v>
      </c>
      <c r="B13" t="s">
        <v>47</v>
      </c>
      <c r="C13" s="22">
        <v>5</v>
      </c>
      <c r="D13" s="23">
        <v>27000</v>
      </c>
      <c r="E13" s="23">
        <f t="shared" si="0"/>
        <v>135000</v>
      </c>
      <c r="F13" s="26">
        <v>44322</v>
      </c>
      <c r="G13" s="27">
        <v>275000</v>
      </c>
      <c r="H13" t="s">
        <v>53</v>
      </c>
    </row>
    <row r="14" spans="1:10" x14ac:dyDescent="0.25">
      <c r="A14" s="21">
        <v>44316</v>
      </c>
      <c r="B14" t="s">
        <v>50</v>
      </c>
      <c r="C14" s="22">
        <v>128</v>
      </c>
      <c r="D14" s="23">
        <v>27000</v>
      </c>
      <c r="E14" s="23">
        <f t="shared" si="0"/>
        <v>3456000</v>
      </c>
      <c r="F14" s="26">
        <v>44323</v>
      </c>
      <c r="G14" s="27">
        <v>560000</v>
      </c>
    </row>
    <row r="15" spans="1:10" x14ac:dyDescent="0.25">
      <c r="A15" s="21">
        <v>44317</v>
      </c>
      <c r="B15" t="s">
        <v>27</v>
      </c>
      <c r="C15" s="22">
        <v>50</v>
      </c>
      <c r="D15" s="23">
        <v>28000</v>
      </c>
      <c r="E15" s="23">
        <f t="shared" si="0"/>
        <v>1400000</v>
      </c>
      <c r="F15" s="26">
        <v>44324</v>
      </c>
      <c r="G15" s="27">
        <v>5335000</v>
      </c>
    </row>
    <row r="16" spans="1:10" x14ac:dyDescent="0.25">
      <c r="A16" s="21"/>
      <c r="D16" s="23"/>
      <c r="E16" s="23"/>
      <c r="F16" s="26">
        <v>44325</v>
      </c>
      <c r="G16" s="27">
        <v>8950000</v>
      </c>
    </row>
    <row r="17" spans="1:8" x14ac:dyDescent="0.25">
      <c r="A17" s="21">
        <v>44320</v>
      </c>
      <c r="B17" t="s">
        <v>40</v>
      </c>
      <c r="C17" s="22">
        <v>108</v>
      </c>
      <c r="D17" s="23">
        <v>27000</v>
      </c>
      <c r="E17" s="23">
        <f t="shared" ref="E17:E23" si="1">C17*D17</f>
        <v>2916000</v>
      </c>
      <c r="F17" s="26"/>
      <c r="G17" s="27"/>
    </row>
    <row r="18" spans="1:8" x14ac:dyDescent="0.25">
      <c r="A18" s="21">
        <v>44322</v>
      </c>
      <c r="B18" t="s">
        <v>40</v>
      </c>
      <c r="C18" s="22">
        <v>204</v>
      </c>
      <c r="D18" s="23">
        <v>27000</v>
      </c>
      <c r="E18" s="23">
        <f t="shared" si="1"/>
        <v>5508000</v>
      </c>
      <c r="F18" s="26">
        <v>44327</v>
      </c>
      <c r="G18" s="27">
        <v>3900000</v>
      </c>
    </row>
    <row r="19" spans="1:8" x14ac:dyDescent="0.25">
      <c r="A19" s="21">
        <v>44323</v>
      </c>
      <c r="B19" t="s">
        <v>40</v>
      </c>
      <c r="C19" s="22">
        <v>142</v>
      </c>
      <c r="D19" s="23">
        <v>27000</v>
      </c>
      <c r="E19" s="23">
        <f t="shared" si="1"/>
        <v>3834000</v>
      </c>
      <c r="F19" s="45">
        <v>44328</v>
      </c>
      <c r="G19" s="25">
        <v>9555000</v>
      </c>
    </row>
    <row r="20" spans="1:8" x14ac:dyDescent="0.25">
      <c r="A20" s="43">
        <v>44323</v>
      </c>
      <c r="B20" t="s">
        <v>27</v>
      </c>
      <c r="C20" s="22">
        <v>36</v>
      </c>
      <c r="D20" s="20">
        <v>28000</v>
      </c>
      <c r="E20" s="20">
        <f t="shared" si="1"/>
        <v>1008000</v>
      </c>
      <c r="F20" s="26">
        <v>44332</v>
      </c>
      <c r="G20" s="27">
        <v>5011500</v>
      </c>
    </row>
    <row r="21" spans="1:8" x14ac:dyDescent="0.25">
      <c r="A21" s="21">
        <v>44324</v>
      </c>
      <c r="B21" t="s">
        <v>40</v>
      </c>
      <c r="C21" s="22">
        <v>168</v>
      </c>
      <c r="D21" s="23">
        <v>27000</v>
      </c>
      <c r="E21" s="23">
        <f t="shared" si="1"/>
        <v>4536000</v>
      </c>
      <c r="F21" s="26"/>
      <c r="G21" s="27"/>
    </row>
    <row r="22" spans="1:8" x14ac:dyDescent="0.25">
      <c r="A22" s="21">
        <v>44324</v>
      </c>
      <c r="B22" t="s">
        <v>27</v>
      </c>
      <c r="C22" s="22">
        <v>6</v>
      </c>
      <c r="D22" s="23">
        <v>28000</v>
      </c>
      <c r="E22" s="23">
        <f t="shared" si="1"/>
        <v>168000</v>
      </c>
      <c r="F22" s="26">
        <v>44334</v>
      </c>
      <c r="G22" s="27">
        <v>7000000</v>
      </c>
    </row>
    <row r="23" spans="1:8" x14ac:dyDescent="0.25">
      <c r="A23" s="21">
        <v>44324</v>
      </c>
      <c r="B23" t="s">
        <v>52</v>
      </c>
      <c r="C23" s="22">
        <v>170</v>
      </c>
      <c r="D23" s="23">
        <v>28000</v>
      </c>
      <c r="E23" s="23">
        <f t="shared" si="1"/>
        <v>4760000</v>
      </c>
      <c r="F23" s="26">
        <v>44335</v>
      </c>
      <c r="G23" s="27">
        <v>2000000</v>
      </c>
    </row>
    <row r="24" spans="1:8" x14ac:dyDescent="0.25">
      <c r="A24" s="21"/>
      <c r="D24" s="23"/>
      <c r="E24" s="23"/>
      <c r="F24" s="26">
        <v>44336</v>
      </c>
      <c r="G24" s="27">
        <v>7850000</v>
      </c>
    </row>
    <row r="25" spans="1:8" x14ac:dyDescent="0.25">
      <c r="A25" s="21">
        <v>44326</v>
      </c>
      <c r="B25" t="s">
        <v>52</v>
      </c>
      <c r="C25" s="22">
        <v>98</v>
      </c>
      <c r="D25" s="23">
        <v>28000</v>
      </c>
      <c r="E25" s="23">
        <f>C25*D25</f>
        <v>2744000</v>
      </c>
      <c r="F25" s="26">
        <v>44337</v>
      </c>
      <c r="G25" s="27">
        <v>1450000</v>
      </c>
    </row>
    <row r="26" spans="1:8" x14ac:dyDescent="0.25">
      <c r="A26" s="21">
        <v>44326</v>
      </c>
      <c r="B26" t="s">
        <v>27</v>
      </c>
      <c r="C26" s="22">
        <v>72</v>
      </c>
      <c r="D26" s="23">
        <v>28000</v>
      </c>
      <c r="E26" s="23">
        <f>C26*D26</f>
        <v>2016000</v>
      </c>
      <c r="F26" s="26">
        <v>44338</v>
      </c>
      <c r="G26" s="27">
        <v>1900000</v>
      </c>
    </row>
    <row r="27" spans="1:8" x14ac:dyDescent="0.25">
      <c r="A27" s="21">
        <v>44327</v>
      </c>
      <c r="B27" t="s">
        <v>40</v>
      </c>
      <c r="C27" s="22">
        <v>152</v>
      </c>
      <c r="D27" s="23">
        <v>27000</v>
      </c>
      <c r="E27" s="23">
        <f>C27*D27</f>
        <v>4104000</v>
      </c>
      <c r="F27" s="26">
        <v>44339</v>
      </c>
      <c r="G27" s="27">
        <v>10853500</v>
      </c>
    </row>
    <row r="28" spans="1:8" x14ac:dyDescent="0.25">
      <c r="A28" s="21">
        <v>44327</v>
      </c>
      <c r="B28" t="s">
        <v>41</v>
      </c>
      <c r="C28" s="22">
        <v>60</v>
      </c>
      <c r="D28" s="23">
        <v>30000</v>
      </c>
      <c r="E28" s="23">
        <f>C28*D28</f>
        <v>1800000</v>
      </c>
      <c r="F28" s="45">
        <v>44339</v>
      </c>
      <c r="G28" s="25">
        <v>1080000</v>
      </c>
      <c r="H28" t="s">
        <v>55</v>
      </c>
    </row>
    <row r="29" spans="1:8" x14ac:dyDescent="0.25">
      <c r="A29" s="21">
        <v>44331</v>
      </c>
      <c r="B29" t="s">
        <v>40</v>
      </c>
      <c r="C29" s="22">
        <v>176</v>
      </c>
      <c r="D29" s="23">
        <v>27000</v>
      </c>
      <c r="E29" s="23">
        <f>C29*D29</f>
        <v>4752000</v>
      </c>
      <c r="F29" s="26"/>
      <c r="G29" s="27"/>
    </row>
    <row r="30" spans="1:8" x14ac:dyDescent="0.25">
      <c r="A30" s="21"/>
      <c r="D30" s="23"/>
      <c r="E30" s="23"/>
      <c r="F30" s="26">
        <v>44433</v>
      </c>
      <c r="G30" s="27">
        <v>4860000</v>
      </c>
    </row>
    <row r="31" spans="1:8" x14ac:dyDescent="0.25">
      <c r="A31" s="21">
        <v>44334</v>
      </c>
      <c r="B31" t="s">
        <v>52</v>
      </c>
      <c r="C31" s="22">
        <v>200</v>
      </c>
      <c r="D31" s="23">
        <v>28000</v>
      </c>
      <c r="E31" s="23">
        <f t="shared" ref="E31:E42" si="2">C31*D31</f>
        <v>5600000</v>
      </c>
      <c r="F31" s="26">
        <v>44342</v>
      </c>
      <c r="G31" s="27">
        <v>2850000</v>
      </c>
    </row>
    <row r="32" spans="1:8" x14ac:dyDescent="0.25">
      <c r="A32" s="43">
        <v>44334</v>
      </c>
      <c r="B32" t="s">
        <v>40</v>
      </c>
      <c r="C32" s="22">
        <v>58</v>
      </c>
      <c r="D32" s="20">
        <v>27000</v>
      </c>
      <c r="E32" s="44">
        <f t="shared" si="2"/>
        <v>1566000</v>
      </c>
      <c r="F32" s="26">
        <v>44343</v>
      </c>
      <c r="G32" s="27">
        <v>5700000</v>
      </c>
    </row>
    <row r="33" spans="1:7" x14ac:dyDescent="0.25">
      <c r="A33" s="21">
        <v>44335</v>
      </c>
      <c r="B33" t="s">
        <v>40</v>
      </c>
      <c r="C33" s="22">
        <v>80</v>
      </c>
      <c r="D33" s="23">
        <v>27000</v>
      </c>
      <c r="E33" s="23">
        <f t="shared" si="2"/>
        <v>2160000</v>
      </c>
      <c r="F33" s="26">
        <v>44344</v>
      </c>
      <c r="G33" s="27">
        <v>300000</v>
      </c>
    </row>
    <row r="34" spans="1:7" x14ac:dyDescent="0.25">
      <c r="A34" s="21">
        <v>44336</v>
      </c>
      <c r="B34" t="s">
        <v>52</v>
      </c>
      <c r="C34" s="22">
        <f>24*6</f>
        <v>144</v>
      </c>
      <c r="D34" s="23">
        <v>28000</v>
      </c>
      <c r="E34" s="23">
        <f t="shared" si="2"/>
        <v>4032000</v>
      </c>
      <c r="F34" s="26">
        <v>44345</v>
      </c>
      <c r="G34" s="27">
        <v>775000</v>
      </c>
    </row>
    <row r="35" spans="1:7" x14ac:dyDescent="0.25">
      <c r="A35" s="21">
        <v>44336</v>
      </c>
      <c r="B35" t="s">
        <v>40</v>
      </c>
      <c r="C35" s="22">
        <f>13*6+3</f>
        <v>81</v>
      </c>
      <c r="D35" s="23">
        <v>27000</v>
      </c>
      <c r="E35" s="23">
        <f t="shared" si="2"/>
        <v>2187000</v>
      </c>
      <c r="F35" s="26">
        <v>44346</v>
      </c>
      <c r="G35" s="27">
        <v>2679000</v>
      </c>
    </row>
    <row r="36" spans="1:7" x14ac:dyDescent="0.25">
      <c r="A36" s="21">
        <v>44336</v>
      </c>
      <c r="B36" t="s">
        <v>41</v>
      </c>
      <c r="C36" s="22">
        <v>188</v>
      </c>
      <c r="D36" s="23">
        <v>30000</v>
      </c>
      <c r="E36" s="23">
        <f t="shared" si="2"/>
        <v>5640000</v>
      </c>
      <c r="F36" s="26"/>
      <c r="G36" s="27"/>
    </row>
    <row r="37" spans="1:7" x14ac:dyDescent="0.25">
      <c r="A37" s="21">
        <v>44336</v>
      </c>
      <c r="B37" t="s">
        <v>54</v>
      </c>
      <c r="C37" s="22">
        <v>2</v>
      </c>
      <c r="D37" s="23">
        <v>28000</v>
      </c>
      <c r="E37" s="23">
        <f t="shared" si="2"/>
        <v>56000</v>
      </c>
      <c r="F37" s="26">
        <v>44348</v>
      </c>
      <c r="G37" s="27">
        <v>3432000</v>
      </c>
    </row>
    <row r="38" spans="1:7" x14ac:dyDescent="0.25">
      <c r="A38" s="21">
        <v>44337</v>
      </c>
      <c r="B38" t="s">
        <v>41</v>
      </c>
      <c r="C38" s="22">
        <v>182</v>
      </c>
      <c r="D38" s="23">
        <v>30000</v>
      </c>
      <c r="E38" s="23">
        <f t="shared" si="2"/>
        <v>5460000</v>
      </c>
      <c r="F38" s="26">
        <v>44349</v>
      </c>
      <c r="G38" s="27">
        <v>1400000</v>
      </c>
    </row>
    <row r="39" spans="1:7" x14ac:dyDescent="0.25">
      <c r="A39" s="21">
        <v>44338</v>
      </c>
      <c r="B39" t="s">
        <v>40</v>
      </c>
      <c r="C39" s="22">
        <v>120</v>
      </c>
      <c r="D39" s="23">
        <v>27000</v>
      </c>
      <c r="E39" s="23">
        <f t="shared" si="2"/>
        <v>3240000</v>
      </c>
      <c r="F39" s="26">
        <v>44350</v>
      </c>
      <c r="G39" s="27">
        <v>3300000</v>
      </c>
    </row>
    <row r="40" spans="1:7" x14ac:dyDescent="0.25">
      <c r="A40" s="21">
        <v>44339</v>
      </c>
      <c r="B40" t="s">
        <v>54</v>
      </c>
      <c r="C40" s="22">
        <f>23*6</f>
        <v>138</v>
      </c>
      <c r="D40" s="23">
        <v>28000</v>
      </c>
      <c r="E40" s="23">
        <f t="shared" si="2"/>
        <v>3864000</v>
      </c>
      <c r="F40" s="26">
        <v>44351</v>
      </c>
      <c r="G40" s="27">
        <v>500000</v>
      </c>
    </row>
    <row r="41" spans="1:7" x14ac:dyDescent="0.25">
      <c r="A41" s="21">
        <v>44339</v>
      </c>
      <c r="B41" t="s">
        <v>40</v>
      </c>
      <c r="C41" s="22">
        <f>18*6+2</f>
        <v>110</v>
      </c>
      <c r="D41" s="23">
        <v>27000</v>
      </c>
      <c r="E41" s="23">
        <f t="shared" si="2"/>
        <v>2970000</v>
      </c>
      <c r="F41" s="45">
        <v>44352</v>
      </c>
      <c r="G41" s="25">
        <v>815000</v>
      </c>
    </row>
    <row r="42" spans="1:7" x14ac:dyDescent="0.25">
      <c r="A42" s="21">
        <v>44339</v>
      </c>
      <c r="B42" t="s">
        <v>52</v>
      </c>
      <c r="C42" s="22">
        <v>246</v>
      </c>
      <c r="D42" s="23">
        <v>28000</v>
      </c>
      <c r="E42" s="23">
        <f t="shared" si="2"/>
        <v>6888000</v>
      </c>
      <c r="F42" s="26">
        <v>44353</v>
      </c>
      <c r="G42" s="27">
        <v>2773500</v>
      </c>
    </row>
    <row r="43" spans="1:7" x14ac:dyDescent="0.25">
      <c r="A43" s="21"/>
      <c r="D43" s="23"/>
      <c r="E43" s="23"/>
      <c r="F43" s="26"/>
      <c r="G43" s="27"/>
    </row>
    <row r="44" spans="1:7" x14ac:dyDescent="0.25">
      <c r="A44" s="21">
        <v>44342</v>
      </c>
      <c r="B44" t="s">
        <v>52</v>
      </c>
      <c r="C44" s="22">
        <f>11*6+2</f>
        <v>68</v>
      </c>
      <c r="D44" s="23">
        <v>28000</v>
      </c>
      <c r="E44" s="23">
        <f t="shared" ref="E44:E51" si="3">C44*D44</f>
        <v>1904000</v>
      </c>
      <c r="F44" s="26">
        <v>44355</v>
      </c>
      <c r="G44" s="27">
        <f>1960000+279000</f>
        <v>2239000</v>
      </c>
    </row>
    <row r="45" spans="1:7" x14ac:dyDescent="0.25">
      <c r="A45" s="21">
        <v>44342</v>
      </c>
      <c r="B45" t="s">
        <v>41</v>
      </c>
      <c r="C45" s="22">
        <v>92</v>
      </c>
      <c r="D45" s="23">
        <v>30000</v>
      </c>
      <c r="E45" s="23">
        <f t="shared" si="3"/>
        <v>2760000</v>
      </c>
      <c r="F45" s="26">
        <v>44356</v>
      </c>
      <c r="G45" s="27">
        <v>1300000</v>
      </c>
    </row>
    <row r="46" spans="1:7" x14ac:dyDescent="0.25">
      <c r="A46" s="21">
        <v>44343</v>
      </c>
      <c r="B46" t="s">
        <v>41</v>
      </c>
      <c r="C46" s="22">
        <f>7*6+4</f>
        <v>46</v>
      </c>
      <c r="D46" s="23">
        <v>30000</v>
      </c>
      <c r="E46" s="23">
        <f t="shared" si="3"/>
        <v>1380000</v>
      </c>
      <c r="F46" s="26">
        <v>44357</v>
      </c>
      <c r="G46" s="27">
        <v>1650000</v>
      </c>
    </row>
    <row r="47" spans="1:7" x14ac:dyDescent="0.25">
      <c r="A47" s="21">
        <v>44343</v>
      </c>
      <c r="B47" t="s">
        <v>56</v>
      </c>
      <c r="C47" s="22">
        <v>34</v>
      </c>
      <c r="D47" s="23">
        <v>28000</v>
      </c>
      <c r="E47" s="23">
        <f t="shared" si="3"/>
        <v>952000</v>
      </c>
      <c r="F47" s="26">
        <v>44358</v>
      </c>
      <c r="G47" s="27">
        <v>680000</v>
      </c>
    </row>
    <row r="48" spans="1:7" x14ac:dyDescent="0.25">
      <c r="A48" s="21">
        <v>44343</v>
      </c>
      <c r="B48" t="s">
        <v>40</v>
      </c>
      <c r="C48" s="22">
        <v>30</v>
      </c>
      <c r="D48" s="23">
        <v>27000</v>
      </c>
      <c r="E48" s="23">
        <f t="shared" si="3"/>
        <v>810000</v>
      </c>
      <c r="F48" s="26">
        <v>44359</v>
      </c>
      <c r="G48" s="27">
        <v>800000</v>
      </c>
    </row>
    <row r="49" spans="1:8" x14ac:dyDescent="0.25">
      <c r="A49" s="21">
        <v>44345</v>
      </c>
      <c r="B49" t="s">
        <v>40</v>
      </c>
      <c r="C49" s="22">
        <f>30*6</f>
        <v>180</v>
      </c>
      <c r="D49" s="23">
        <v>27000</v>
      </c>
      <c r="E49" s="23">
        <f t="shared" si="3"/>
        <v>4860000</v>
      </c>
      <c r="F49" s="45">
        <v>44360</v>
      </c>
      <c r="G49" s="25">
        <v>5990000</v>
      </c>
    </row>
    <row r="50" spans="1:8" x14ac:dyDescent="0.25">
      <c r="A50" s="21">
        <v>44345</v>
      </c>
      <c r="B50" t="s">
        <v>41</v>
      </c>
      <c r="C50" s="22">
        <f>31*6</f>
        <v>186</v>
      </c>
      <c r="D50" s="23">
        <v>30000</v>
      </c>
      <c r="E50" s="23">
        <f t="shared" si="3"/>
        <v>5580000</v>
      </c>
      <c r="F50" s="26"/>
      <c r="G50" s="27"/>
    </row>
    <row r="51" spans="1:8" x14ac:dyDescent="0.25">
      <c r="A51" s="46">
        <v>44344</v>
      </c>
      <c r="B51" s="47" t="s">
        <v>40</v>
      </c>
      <c r="C51" s="48">
        <f>11*6</f>
        <v>66</v>
      </c>
      <c r="D51" s="49">
        <v>27000</v>
      </c>
      <c r="E51" s="49">
        <f t="shared" si="3"/>
        <v>1782000</v>
      </c>
      <c r="F51" s="26">
        <v>44362</v>
      </c>
      <c r="G51" s="27">
        <v>1475000</v>
      </c>
    </row>
    <row r="52" spans="1:8" x14ac:dyDescent="0.25">
      <c r="E52" s="23"/>
      <c r="F52" s="26">
        <v>44363</v>
      </c>
      <c r="G52" s="27">
        <v>3150000</v>
      </c>
    </row>
    <row r="53" spans="1:8" x14ac:dyDescent="0.25">
      <c r="A53" s="21">
        <v>44348</v>
      </c>
      <c r="B53" t="s">
        <v>41</v>
      </c>
      <c r="C53" s="22">
        <v>26</v>
      </c>
      <c r="D53" s="23">
        <v>30000</v>
      </c>
      <c r="E53" s="23">
        <f t="shared" ref="E53:E59" si="4">C53*D53</f>
        <v>780000</v>
      </c>
      <c r="F53" s="26">
        <v>44364</v>
      </c>
      <c r="G53" s="27">
        <v>3232000</v>
      </c>
    </row>
    <row r="54" spans="1:8" x14ac:dyDescent="0.25">
      <c r="A54" s="21">
        <v>44349</v>
      </c>
      <c r="B54" t="s">
        <v>41</v>
      </c>
      <c r="C54" s="22">
        <v>60</v>
      </c>
      <c r="D54" s="23">
        <v>30000</v>
      </c>
      <c r="E54" s="23">
        <f t="shared" si="4"/>
        <v>1800000</v>
      </c>
      <c r="F54" s="26">
        <v>44365</v>
      </c>
      <c r="G54" s="27">
        <v>1650000</v>
      </c>
    </row>
    <row r="55" spans="1:8" x14ac:dyDescent="0.25">
      <c r="A55" s="21">
        <v>44349</v>
      </c>
      <c r="B55" t="s">
        <v>57</v>
      </c>
      <c r="C55" s="22">
        <v>50</v>
      </c>
      <c r="D55" s="23">
        <v>27000</v>
      </c>
      <c r="E55" s="23">
        <f t="shared" si="4"/>
        <v>1350000</v>
      </c>
      <c r="F55" s="26">
        <v>44367</v>
      </c>
      <c r="G55" s="27">
        <v>351000</v>
      </c>
    </row>
    <row r="56" spans="1:8" x14ac:dyDescent="0.25">
      <c r="A56" s="21">
        <v>44319</v>
      </c>
      <c r="B56" t="s">
        <v>40</v>
      </c>
      <c r="C56" s="22">
        <v>26</v>
      </c>
      <c r="D56" s="23">
        <v>27000</v>
      </c>
      <c r="E56" s="23">
        <f t="shared" si="4"/>
        <v>702000</v>
      </c>
      <c r="F56" s="26"/>
      <c r="G56" s="27"/>
    </row>
    <row r="57" spans="1:8" x14ac:dyDescent="0.25">
      <c r="A57" s="21">
        <v>44350</v>
      </c>
      <c r="B57" t="s">
        <v>57</v>
      </c>
      <c r="C57" s="22">
        <v>46</v>
      </c>
      <c r="D57" s="23">
        <v>27000</v>
      </c>
      <c r="E57" s="23">
        <f t="shared" si="4"/>
        <v>1242000</v>
      </c>
      <c r="F57" s="45">
        <v>44369</v>
      </c>
      <c r="G57" s="56">
        <v>3082000</v>
      </c>
      <c r="H57" t="s">
        <v>66</v>
      </c>
    </row>
    <row r="58" spans="1:8" x14ac:dyDescent="0.25">
      <c r="A58" s="21">
        <v>44351</v>
      </c>
      <c r="B58" t="s">
        <v>40</v>
      </c>
      <c r="C58" s="22">
        <v>50</v>
      </c>
      <c r="D58" s="23">
        <v>27000</v>
      </c>
      <c r="E58" s="23">
        <f t="shared" si="4"/>
        <v>1350000</v>
      </c>
      <c r="F58" s="26">
        <v>44369</v>
      </c>
      <c r="G58" s="27">
        <f>420000+1850000</f>
        <v>2270000</v>
      </c>
    </row>
    <row r="59" spans="1:8" x14ac:dyDescent="0.25">
      <c r="A59" s="21">
        <v>44353</v>
      </c>
      <c r="B59" t="s">
        <v>41</v>
      </c>
      <c r="C59" s="22">
        <v>278</v>
      </c>
      <c r="D59" s="23">
        <v>30000</v>
      </c>
      <c r="E59" s="23">
        <f t="shared" si="4"/>
        <v>8340000</v>
      </c>
      <c r="F59" s="26">
        <v>44370</v>
      </c>
      <c r="G59" s="27">
        <v>400000</v>
      </c>
    </row>
    <row r="60" spans="1:8" x14ac:dyDescent="0.25">
      <c r="A60" s="21"/>
      <c r="D60" s="23"/>
      <c r="E60" s="23"/>
      <c r="F60" s="26">
        <v>44371</v>
      </c>
      <c r="G60" s="27">
        <v>1000000</v>
      </c>
    </row>
    <row r="61" spans="1:8" x14ac:dyDescent="0.25">
      <c r="A61" s="21">
        <v>44358</v>
      </c>
      <c r="B61" t="s">
        <v>58</v>
      </c>
      <c r="C61" s="22">
        <v>123</v>
      </c>
      <c r="D61" s="23">
        <v>14000</v>
      </c>
      <c r="E61" s="23">
        <f>C61*D61</f>
        <v>1722000</v>
      </c>
      <c r="F61" s="26">
        <v>44372</v>
      </c>
      <c r="G61" s="27">
        <v>1030000</v>
      </c>
    </row>
    <row r="62" spans="1:8" x14ac:dyDescent="0.25">
      <c r="A62" s="21">
        <v>44358</v>
      </c>
      <c r="B62" t="s">
        <v>60</v>
      </c>
      <c r="C62" s="22">
        <v>116</v>
      </c>
      <c r="D62" s="23">
        <v>24000</v>
      </c>
      <c r="E62" s="23">
        <f>C62*D62</f>
        <v>2784000</v>
      </c>
      <c r="F62" s="26">
        <v>44373</v>
      </c>
      <c r="G62" s="27">
        <v>450000</v>
      </c>
    </row>
    <row r="63" spans="1:8" x14ac:dyDescent="0.25">
      <c r="A63" s="21">
        <v>44360</v>
      </c>
      <c r="B63" t="s">
        <v>58</v>
      </c>
      <c r="C63" s="22">
        <f>86*3</f>
        <v>258</v>
      </c>
      <c r="D63" s="23">
        <v>14000</v>
      </c>
      <c r="E63" s="23">
        <f>C63*D63</f>
        <v>3612000</v>
      </c>
      <c r="F63" s="26">
        <v>44374</v>
      </c>
      <c r="G63" s="27">
        <v>2881000</v>
      </c>
    </row>
    <row r="64" spans="1:8" x14ac:dyDescent="0.25">
      <c r="A64" s="43">
        <v>44360</v>
      </c>
      <c r="B64" t="s">
        <v>59</v>
      </c>
      <c r="C64" s="22">
        <f>46*3</f>
        <v>138</v>
      </c>
      <c r="D64" s="20">
        <v>23000</v>
      </c>
      <c r="E64" s="20">
        <f>C64*D64</f>
        <v>3174000</v>
      </c>
    </row>
    <row r="65" spans="1:7" x14ac:dyDescent="0.25">
      <c r="A65" s="21"/>
      <c r="D65" s="23"/>
      <c r="E65" s="23"/>
      <c r="F65" s="26">
        <v>44377</v>
      </c>
      <c r="G65" s="27">
        <v>1265000</v>
      </c>
    </row>
    <row r="66" spans="1:7" x14ac:dyDescent="0.25">
      <c r="A66" s="21">
        <v>44362</v>
      </c>
      <c r="B66" t="s">
        <v>59</v>
      </c>
      <c r="C66" s="22">
        <v>90</v>
      </c>
      <c r="D66" s="23">
        <v>23000</v>
      </c>
      <c r="E66" s="23">
        <f t="shared" ref="E66:E71" si="5">C66*D66</f>
        <v>2070000</v>
      </c>
      <c r="F66" s="26">
        <v>44378</v>
      </c>
      <c r="G66" s="27">
        <v>620000</v>
      </c>
    </row>
    <row r="67" spans="1:7" x14ac:dyDescent="0.25">
      <c r="A67" s="43">
        <v>44363</v>
      </c>
      <c r="B67" t="s">
        <v>64</v>
      </c>
      <c r="C67" s="22">
        <v>156</v>
      </c>
      <c r="D67" s="20">
        <v>13500</v>
      </c>
      <c r="E67" s="20">
        <f t="shared" si="5"/>
        <v>2106000</v>
      </c>
      <c r="F67" s="26">
        <v>44379</v>
      </c>
      <c r="G67" s="27">
        <v>110000</v>
      </c>
    </row>
    <row r="68" spans="1:7" x14ac:dyDescent="0.25">
      <c r="A68" s="21">
        <v>44364</v>
      </c>
      <c r="B68" t="s">
        <v>41</v>
      </c>
      <c r="C68" s="22">
        <v>120</v>
      </c>
      <c r="D68" s="23">
        <v>30000</v>
      </c>
      <c r="E68" s="23">
        <f t="shared" si="5"/>
        <v>3600000</v>
      </c>
      <c r="F68" s="26">
        <v>44381</v>
      </c>
      <c r="G68" s="27">
        <v>840000</v>
      </c>
    </row>
    <row r="69" spans="1:7" x14ac:dyDescent="0.25">
      <c r="A69" s="21">
        <v>44367</v>
      </c>
      <c r="B69" t="s">
        <v>41</v>
      </c>
      <c r="C69" s="22">
        <f>18*6</f>
        <v>108</v>
      </c>
      <c r="D69" s="23">
        <v>30000</v>
      </c>
      <c r="E69" s="23">
        <f t="shared" si="5"/>
        <v>3240000</v>
      </c>
      <c r="F69" s="26">
        <v>44383</v>
      </c>
      <c r="G69" s="27">
        <v>620000</v>
      </c>
    </row>
    <row r="70" spans="1:7" x14ac:dyDescent="0.25">
      <c r="A70" s="21">
        <v>44367</v>
      </c>
      <c r="B70" t="s">
        <v>65</v>
      </c>
      <c r="C70" s="22">
        <f>120+54</f>
        <v>174</v>
      </c>
      <c r="D70" s="23">
        <v>11000</v>
      </c>
      <c r="E70" s="23">
        <f t="shared" si="5"/>
        <v>1914000</v>
      </c>
      <c r="F70" s="26">
        <v>44384</v>
      </c>
      <c r="G70" s="27">
        <v>1100000</v>
      </c>
    </row>
    <row r="71" spans="1:7" x14ac:dyDescent="0.25">
      <c r="A71" s="21">
        <v>44363</v>
      </c>
      <c r="B71" t="s">
        <v>41</v>
      </c>
      <c r="C71" s="22">
        <v>92</v>
      </c>
      <c r="D71" s="23">
        <v>30000</v>
      </c>
      <c r="E71" s="23">
        <f t="shared" si="5"/>
        <v>2760000</v>
      </c>
      <c r="F71" s="26">
        <v>44387</v>
      </c>
      <c r="G71" s="27">
        <v>1040000</v>
      </c>
    </row>
    <row r="72" spans="1:7" x14ac:dyDescent="0.25">
      <c r="A72" s="21"/>
      <c r="D72" s="23"/>
      <c r="E72" s="23"/>
      <c r="F72" s="45">
        <v>44388</v>
      </c>
      <c r="G72" s="25">
        <v>8427000</v>
      </c>
    </row>
    <row r="73" spans="1:7" x14ac:dyDescent="0.25">
      <c r="A73" s="21">
        <v>44374</v>
      </c>
      <c r="B73" t="s">
        <v>41</v>
      </c>
      <c r="C73" s="22">
        <v>88</v>
      </c>
      <c r="D73" s="23">
        <v>28000</v>
      </c>
      <c r="E73" s="23">
        <f>C73*D73</f>
        <v>2464000</v>
      </c>
      <c r="F73" s="26"/>
      <c r="G73" s="27"/>
    </row>
    <row r="74" spans="1:7" x14ac:dyDescent="0.25">
      <c r="A74" s="43"/>
      <c r="F74" s="26">
        <v>44390</v>
      </c>
      <c r="G74" s="27">
        <v>5050000</v>
      </c>
    </row>
    <row r="75" spans="1:7" x14ac:dyDescent="0.25">
      <c r="A75" s="21">
        <v>44385</v>
      </c>
      <c r="B75" t="s">
        <v>41</v>
      </c>
      <c r="C75" s="22">
        <v>16</v>
      </c>
      <c r="D75" s="23">
        <v>28000</v>
      </c>
      <c r="E75" s="23">
        <f t="shared" ref="E75:E81" si="6">C75*D75</f>
        <v>448000</v>
      </c>
      <c r="F75" s="26">
        <v>44391</v>
      </c>
      <c r="G75" s="27">
        <v>4565000</v>
      </c>
    </row>
    <row r="76" spans="1:7" x14ac:dyDescent="0.25">
      <c r="A76" s="21">
        <v>44386</v>
      </c>
      <c r="B76" t="s">
        <v>67</v>
      </c>
      <c r="C76" s="22">
        <v>24</v>
      </c>
      <c r="D76" s="23">
        <v>33000</v>
      </c>
      <c r="E76" s="23">
        <f t="shared" si="6"/>
        <v>792000</v>
      </c>
      <c r="F76" s="26">
        <v>44392</v>
      </c>
      <c r="G76" s="27">
        <v>4250000</v>
      </c>
    </row>
    <row r="77" spans="1:7" x14ac:dyDescent="0.25">
      <c r="A77" s="21">
        <v>44386</v>
      </c>
      <c r="B77" t="s">
        <v>68</v>
      </c>
      <c r="C77" s="22">
        <v>26</v>
      </c>
      <c r="D77" s="23">
        <v>33000</v>
      </c>
      <c r="E77" s="23">
        <f t="shared" si="6"/>
        <v>858000</v>
      </c>
      <c r="F77" s="26">
        <v>44393</v>
      </c>
      <c r="G77" s="27">
        <v>50000</v>
      </c>
    </row>
    <row r="78" spans="1:7" x14ac:dyDescent="0.25">
      <c r="A78" s="21">
        <v>44386</v>
      </c>
      <c r="B78" t="s">
        <v>69</v>
      </c>
      <c r="C78" s="22">
        <v>20</v>
      </c>
      <c r="D78" s="23">
        <v>33500</v>
      </c>
      <c r="E78" s="23">
        <f t="shared" si="6"/>
        <v>670000</v>
      </c>
      <c r="F78" s="26">
        <v>44394</v>
      </c>
      <c r="G78" s="27">
        <v>1400000</v>
      </c>
    </row>
    <row r="79" spans="1:7" x14ac:dyDescent="0.25">
      <c r="A79" s="43">
        <v>44387</v>
      </c>
      <c r="B79" t="s">
        <v>67</v>
      </c>
      <c r="C79" s="22">
        <f>35*2</f>
        <v>70</v>
      </c>
      <c r="D79" s="20">
        <v>33000</v>
      </c>
      <c r="E79" s="20">
        <f t="shared" si="6"/>
        <v>2310000</v>
      </c>
      <c r="F79" s="26">
        <v>44395</v>
      </c>
      <c r="G79" s="27">
        <v>11697000</v>
      </c>
    </row>
    <row r="80" spans="1:7" x14ac:dyDescent="0.25">
      <c r="A80" s="21">
        <v>44387</v>
      </c>
      <c r="B80" t="s">
        <v>68</v>
      </c>
      <c r="C80" s="22">
        <f>50*2</f>
        <v>100</v>
      </c>
      <c r="D80" s="23">
        <v>33000</v>
      </c>
      <c r="E80" s="23">
        <f t="shared" si="6"/>
        <v>3300000</v>
      </c>
    </row>
    <row r="81" spans="1:8" x14ac:dyDescent="0.25">
      <c r="A81" s="21">
        <v>44387</v>
      </c>
      <c r="B81" t="s">
        <v>69</v>
      </c>
      <c r="C81" s="22">
        <v>92</v>
      </c>
      <c r="D81" s="23">
        <v>33500</v>
      </c>
      <c r="E81" s="23">
        <f t="shared" si="6"/>
        <v>3082000</v>
      </c>
      <c r="F81" s="26">
        <v>44398</v>
      </c>
      <c r="G81" s="25">
        <v>660000</v>
      </c>
    </row>
    <row r="82" spans="1:8" x14ac:dyDescent="0.25">
      <c r="A82" s="21"/>
      <c r="D82" s="23"/>
      <c r="E82" s="23"/>
      <c r="F82" s="26">
        <v>44399</v>
      </c>
      <c r="G82" s="27">
        <v>2035000</v>
      </c>
    </row>
    <row r="83" spans="1:8" x14ac:dyDescent="0.25">
      <c r="A83" s="21">
        <v>44390</v>
      </c>
      <c r="B83" t="s">
        <v>68</v>
      </c>
      <c r="C83" s="22">
        <f>28*2</f>
        <v>56</v>
      </c>
      <c r="D83" s="23">
        <v>33000</v>
      </c>
      <c r="E83" s="23">
        <f t="shared" ref="E83:E90" si="7">C83*D83</f>
        <v>1848000</v>
      </c>
      <c r="F83" s="45">
        <v>44401</v>
      </c>
      <c r="G83" s="25">
        <v>5090000</v>
      </c>
    </row>
    <row r="84" spans="1:8" x14ac:dyDescent="0.25">
      <c r="A84" s="21">
        <v>44390</v>
      </c>
      <c r="B84" t="s">
        <v>67</v>
      </c>
      <c r="C84" s="22">
        <f>19*2</f>
        <v>38</v>
      </c>
      <c r="D84" s="23">
        <v>33000</v>
      </c>
      <c r="E84" s="23">
        <f t="shared" si="7"/>
        <v>1254000</v>
      </c>
      <c r="F84" s="45">
        <v>44402</v>
      </c>
      <c r="G84" s="25">
        <v>16231000</v>
      </c>
      <c r="H84" t="s">
        <v>72</v>
      </c>
    </row>
    <row r="85" spans="1:8" x14ac:dyDescent="0.25">
      <c r="A85" s="21">
        <v>44390</v>
      </c>
      <c r="B85" t="s">
        <v>69</v>
      </c>
      <c r="C85" s="22">
        <f>12*2</f>
        <v>24</v>
      </c>
      <c r="D85" s="23">
        <v>33500</v>
      </c>
      <c r="E85" s="23">
        <f t="shared" si="7"/>
        <v>804000</v>
      </c>
      <c r="F85" s="45">
        <v>44402</v>
      </c>
      <c r="G85" s="25">
        <v>14873000</v>
      </c>
    </row>
    <row r="86" spans="1:8" x14ac:dyDescent="0.25">
      <c r="A86" s="21">
        <v>44391</v>
      </c>
      <c r="B86" t="s">
        <v>67</v>
      </c>
      <c r="C86" s="22">
        <v>102</v>
      </c>
      <c r="D86" s="23">
        <v>33000</v>
      </c>
      <c r="E86" s="23">
        <f t="shared" si="7"/>
        <v>3366000</v>
      </c>
    </row>
    <row r="87" spans="1:8" x14ac:dyDescent="0.25">
      <c r="A87" s="21">
        <v>44392</v>
      </c>
      <c r="B87" t="s">
        <v>67</v>
      </c>
      <c r="C87" s="22">
        <v>154</v>
      </c>
      <c r="D87" s="23">
        <v>33000</v>
      </c>
      <c r="E87" s="23">
        <f t="shared" si="7"/>
        <v>5082000</v>
      </c>
    </row>
    <row r="88" spans="1:8" x14ac:dyDescent="0.25">
      <c r="A88" s="21">
        <v>44394</v>
      </c>
      <c r="B88" t="s">
        <v>67</v>
      </c>
      <c r="C88" s="22">
        <f>32*6+4+108</f>
        <v>304</v>
      </c>
      <c r="D88" s="23">
        <v>33000</v>
      </c>
      <c r="E88" s="23">
        <f t="shared" si="7"/>
        <v>10032000</v>
      </c>
    </row>
    <row r="89" spans="1:8" x14ac:dyDescent="0.25">
      <c r="A89" s="21">
        <v>44394</v>
      </c>
      <c r="B89" t="s">
        <v>68</v>
      </c>
      <c r="C89" s="22">
        <v>2</v>
      </c>
      <c r="D89" s="23">
        <v>33000</v>
      </c>
      <c r="E89" s="23">
        <f t="shared" si="7"/>
        <v>66000</v>
      </c>
    </row>
    <row r="90" spans="1:8" x14ac:dyDescent="0.25">
      <c r="A90" s="43">
        <v>44394</v>
      </c>
      <c r="B90" t="s">
        <v>69</v>
      </c>
      <c r="C90" s="22">
        <f>60+64</f>
        <v>124</v>
      </c>
      <c r="D90" s="20">
        <v>33500</v>
      </c>
      <c r="E90" s="20">
        <f t="shared" si="7"/>
        <v>4154000</v>
      </c>
    </row>
    <row r="91" spans="1:8" x14ac:dyDescent="0.25">
      <c r="A91" s="21"/>
      <c r="D91" s="23"/>
      <c r="E91" s="23"/>
    </row>
    <row r="92" spans="1:8" x14ac:dyDescent="0.25">
      <c r="A92" s="21">
        <v>44399</v>
      </c>
      <c r="B92" t="s">
        <v>68</v>
      </c>
      <c r="C92" s="22">
        <f>10-8</f>
        <v>2</v>
      </c>
      <c r="D92" s="23">
        <v>33000</v>
      </c>
      <c r="E92" s="23">
        <f t="shared" ref="E92:E98" si="8">C92*D92</f>
        <v>66000</v>
      </c>
    </row>
    <row r="93" spans="1:8" x14ac:dyDescent="0.25">
      <c r="A93" s="21">
        <v>44399</v>
      </c>
      <c r="B93" t="s">
        <v>69</v>
      </c>
      <c r="C93" s="22">
        <v>6</v>
      </c>
      <c r="D93" s="23">
        <v>33500</v>
      </c>
      <c r="E93" s="23">
        <f t="shared" si="8"/>
        <v>201000</v>
      </c>
    </row>
    <row r="94" spans="1:8" x14ac:dyDescent="0.25">
      <c r="A94" s="21">
        <v>44401</v>
      </c>
      <c r="B94" t="s">
        <v>69</v>
      </c>
      <c r="C94" s="22">
        <f>20*6</f>
        <v>120</v>
      </c>
      <c r="D94" s="23">
        <v>33500</v>
      </c>
      <c r="E94" s="23">
        <f t="shared" si="8"/>
        <v>4020000</v>
      </c>
    </row>
    <row r="95" spans="1:8" x14ac:dyDescent="0.25">
      <c r="A95" s="21">
        <v>44401</v>
      </c>
      <c r="B95" t="s">
        <v>8</v>
      </c>
      <c r="C95" s="22">
        <f>14*6+4</f>
        <v>88</v>
      </c>
      <c r="D95" s="23">
        <v>35500</v>
      </c>
      <c r="E95" s="23">
        <f t="shared" si="8"/>
        <v>3124000</v>
      </c>
    </row>
    <row r="96" spans="1:8" x14ac:dyDescent="0.25">
      <c r="A96" s="21">
        <v>44402</v>
      </c>
      <c r="B96" t="s">
        <v>68</v>
      </c>
      <c r="C96" s="22">
        <f>25*6</f>
        <v>150</v>
      </c>
      <c r="D96" s="23">
        <v>33000</v>
      </c>
      <c r="E96" s="23">
        <f t="shared" si="8"/>
        <v>4950000</v>
      </c>
    </row>
    <row r="97" spans="1:5" x14ac:dyDescent="0.25">
      <c r="A97" s="21">
        <v>44402</v>
      </c>
      <c r="B97" t="s">
        <v>69</v>
      </c>
      <c r="C97" s="22">
        <f>16*6</f>
        <v>96</v>
      </c>
      <c r="D97" s="23">
        <v>33500</v>
      </c>
      <c r="E97" s="23">
        <f t="shared" si="8"/>
        <v>3216000</v>
      </c>
    </row>
    <row r="98" spans="1:5" x14ac:dyDescent="0.25">
      <c r="A98" s="21">
        <v>44402</v>
      </c>
      <c r="B98" t="s">
        <v>67</v>
      </c>
      <c r="C98" s="22">
        <f>40*6</f>
        <v>240</v>
      </c>
      <c r="D98" s="23">
        <v>33000</v>
      </c>
      <c r="E98" s="23">
        <f t="shared" si="8"/>
        <v>7920000</v>
      </c>
    </row>
    <row r="99" spans="1:5" x14ac:dyDescent="0.25">
      <c r="A99" s="21"/>
      <c r="D99" s="23"/>
      <c r="E99" s="23"/>
    </row>
    <row r="100" spans="1:5" x14ac:dyDescent="0.25">
      <c r="A100" s="21"/>
      <c r="D100" s="23"/>
      <c r="E100" s="23"/>
    </row>
    <row r="101" spans="1:5" x14ac:dyDescent="0.25">
      <c r="A101" s="21"/>
      <c r="D101" s="23"/>
      <c r="E101" s="23"/>
    </row>
    <row r="102" spans="1:5" x14ac:dyDescent="0.25">
      <c r="A102" s="21"/>
      <c r="D102" s="23"/>
      <c r="E102" s="23"/>
    </row>
    <row r="104" spans="1:5" x14ac:dyDescent="0.25">
      <c r="A104" s="21"/>
      <c r="D104" s="23"/>
      <c r="E104" s="23"/>
    </row>
    <row r="105" spans="1:5" x14ac:dyDescent="0.25">
      <c r="A105" s="21"/>
      <c r="D105" s="23"/>
      <c r="E105" s="23"/>
    </row>
    <row r="106" spans="1:5" x14ac:dyDescent="0.25">
      <c r="A106" s="21"/>
      <c r="D106" s="23"/>
      <c r="E106" s="23"/>
    </row>
    <row r="107" spans="1:5" x14ac:dyDescent="0.25">
      <c r="A107" s="21"/>
      <c r="D107" s="23"/>
      <c r="E107" s="23"/>
    </row>
    <row r="108" spans="1:5" x14ac:dyDescent="0.25">
      <c r="A108" s="21"/>
      <c r="D108" s="23"/>
      <c r="E108" s="23"/>
    </row>
    <row r="109" spans="1:5" x14ac:dyDescent="0.25">
      <c r="A109" s="21"/>
      <c r="D109" s="23"/>
      <c r="E109" s="23"/>
    </row>
    <row r="110" spans="1:5" x14ac:dyDescent="0.25">
      <c r="A110" s="21"/>
      <c r="D110" s="23"/>
      <c r="E110" s="23"/>
    </row>
    <row r="111" spans="1:5" x14ac:dyDescent="0.25">
      <c r="A111" s="21"/>
      <c r="D111" s="23"/>
      <c r="E111" s="23"/>
    </row>
    <row r="112" spans="1:5" x14ac:dyDescent="0.25">
      <c r="A112" s="21"/>
      <c r="D112" s="23"/>
      <c r="E112" s="23"/>
    </row>
    <row r="113" spans="1:5" x14ac:dyDescent="0.25">
      <c r="A113" s="21"/>
      <c r="D113" s="23"/>
      <c r="E113" s="23"/>
    </row>
    <row r="114" spans="1:5" x14ac:dyDescent="0.25">
      <c r="A114" s="21"/>
      <c r="D114" s="23"/>
      <c r="E114" s="23"/>
    </row>
    <row r="115" spans="1:5" x14ac:dyDescent="0.25">
      <c r="A115" s="21"/>
      <c r="D115" s="23"/>
      <c r="E115" s="23"/>
    </row>
    <row r="116" spans="1:5" x14ac:dyDescent="0.25">
      <c r="A116" s="21"/>
      <c r="D116" s="23"/>
      <c r="E116" s="23"/>
    </row>
    <row r="118" spans="1:5" x14ac:dyDescent="0.25">
      <c r="E118" s="23"/>
    </row>
    <row r="119" spans="1:5" x14ac:dyDescent="0.25">
      <c r="E119" s="23"/>
    </row>
    <row r="120" spans="1:5" x14ac:dyDescent="0.25">
      <c r="E120" s="23"/>
    </row>
    <row r="121" spans="1:5" x14ac:dyDescent="0.25">
      <c r="E121" s="23"/>
    </row>
    <row r="122" spans="1:5" x14ac:dyDescent="0.25">
      <c r="E122" s="23"/>
    </row>
    <row r="123" spans="1:5" x14ac:dyDescent="0.25">
      <c r="E123" s="23"/>
    </row>
    <row r="199" spans="5:7" x14ac:dyDescent="0.25">
      <c r="E199" s="23">
        <f>SUM(E3:E198)</f>
        <v>259101500</v>
      </c>
      <c r="G199" s="27">
        <f>SUM(G3:G198)</f>
        <v>246010500</v>
      </c>
    </row>
    <row r="200" spans="5:7" x14ac:dyDescent="0.25">
      <c r="E200" s="23"/>
      <c r="G200" s="27"/>
    </row>
  </sheetData>
  <mergeCells count="3">
    <mergeCell ref="A1:E1"/>
    <mergeCell ref="F1:G1"/>
    <mergeCell ref="I3:J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ABC3-BC15-284B-AAD8-A392FE850F23}">
  <dimension ref="A1:J200"/>
  <sheetViews>
    <sheetView topLeftCell="A53" zoomScaleNormal="60" zoomScaleSheetLayoutView="100" workbookViewId="0">
      <selection activeCell="F81" sqref="F81:F83"/>
    </sheetView>
  </sheetViews>
  <sheetFormatPr defaultRowHeight="15" x14ac:dyDescent="0.25"/>
  <cols>
    <col min="1" max="1" width="8.5703125" style="6"/>
    <col min="2" max="2" width="17" customWidth="1"/>
    <col min="4" max="4" width="8.85546875" style="1" customWidth="1"/>
    <col min="5" max="5" width="10.7109375" style="1" customWidth="1"/>
    <col min="6" max="6" width="8.5703125" style="16"/>
    <col min="7" max="7" width="13.140625" style="17" customWidth="1"/>
    <col min="8" max="8" width="11.5703125" customWidth="1"/>
    <col min="9" max="9" width="14.85546875" customWidth="1"/>
    <col min="10" max="10" width="16.140625" customWidth="1"/>
  </cols>
  <sheetData>
    <row r="1" spans="1:10" x14ac:dyDescent="0.25">
      <c r="A1" s="120" t="s">
        <v>5</v>
      </c>
      <c r="B1" s="120"/>
      <c r="C1" s="120"/>
      <c r="D1" s="120"/>
      <c r="E1" s="120"/>
      <c r="F1" s="121" t="s">
        <v>6</v>
      </c>
      <c r="G1" s="122"/>
      <c r="I1" s="124" t="s">
        <v>10</v>
      </c>
      <c r="J1" s="124"/>
    </row>
    <row r="2" spans="1:10" s="3" customFormat="1" x14ac:dyDescent="0.25">
      <c r="A2" s="5" t="s">
        <v>0</v>
      </c>
      <c r="B2" s="3" t="s">
        <v>1</v>
      </c>
      <c r="C2" s="3" t="s">
        <v>2</v>
      </c>
      <c r="D2" s="4" t="s">
        <v>3</v>
      </c>
      <c r="E2" s="4" t="s">
        <v>4</v>
      </c>
      <c r="F2" s="14" t="s">
        <v>0</v>
      </c>
      <c r="G2" s="15" t="s">
        <v>4</v>
      </c>
      <c r="I2" s="125" t="s">
        <v>11</v>
      </c>
      <c r="J2" s="125"/>
    </row>
    <row r="3" spans="1:10" x14ac:dyDescent="0.25">
      <c r="A3" s="123" t="s">
        <v>7</v>
      </c>
      <c r="B3" s="123"/>
      <c r="C3" s="123"/>
      <c r="D3" s="123"/>
      <c r="E3" s="2">
        <v>32079000</v>
      </c>
      <c r="F3" s="16">
        <v>44241</v>
      </c>
      <c r="G3" s="17">
        <v>432000</v>
      </c>
      <c r="H3" t="s">
        <v>9</v>
      </c>
      <c r="I3" s="126">
        <f>E200-G200</f>
        <v>26928500</v>
      </c>
      <c r="J3" s="124"/>
    </row>
    <row r="4" spans="1:10" x14ac:dyDescent="0.25">
      <c r="A4" s="6">
        <v>44242</v>
      </c>
      <c r="B4" t="s">
        <v>8</v>
      </c>
      <c r="C4">
        <v>50</v>
      </c>
      <c r="D4" s="1">
        <v>35000</v>
      </c>
      <c r="E4" s="1">
        <f t="shared" ref="E4:E9" si="0">C4*D4</f>
        <v>1750000</v>
      </c>
      <c r="F4" s="16">
        <v>44243</v>
      </c>
      <c r="G4" s="17">
        <v>3830000</v>
      </c>
    </row>
    <row r="5" spans="1:10" x14ac:dyDescent="0.25">
      <c r="A5" s="6">
        <v>44242</v>
      </c>
      <c r="B5" t="s">
        <v>12</v>
      </c>
      <c r="C5">
        <v>2</v>
      </c>
      <c r="D5" s="1">
        <v>32000</v>
      </c>
      <c r="E5">
        <f t="shared" si="0"/>
        <v>64000</v>
      </c>
      <c r="F5" s="16">
        <v>44243</v>
      </c>
      <c r="G5" s="17">
        <v>606000</v>
      </c>
      <c r="H5" t="s">
        <v>9</v>
      </c>
    </row>
    <row r="6" spans="1:10" x14ac:dyDescent="0.25">
      <c r="A6" s="6">
        <v>44242</v>
      </c>
      <c r="B6" t="s">
        <v>13</v>
      </c>
      <c r="C6">
        <v>46</v>
      </c>
      <c r="D6" s="1">
        <v>33000</v>
      </c>
      <c r="E6" s="1">
        <f t="shared" si="0"/>
        <v>1518000</v>
      </c>
      <c r="F6" s="16">
        <v>44244</v>
      </c>
      <c r="G6" s="17">
        <v>1130000</v>
      </c>
      <c r="I6" t="s">
        <v>14</v>
      </c>
      <c r="J6" t="e">
        <f>#REF!</f>
        <v>#REF!</v>
      </c>
    </row>
    <row r="7" spans="1:10" x14ac:dyDescent="0.25">
      <c r="A7" s="6">
        <v>44244</v>
      </c>
      <c r="B7" t="s">
        <v>16</v>
      </c>
      <c r="C7">
        <v>94</v>
      </c>
      <c r="D7" s="1">
        <v>33000</v>
      </c>
      <c r="E7" s="1">
        <f t="shared" si="0"/>
        <v>3102000</v>
      </c>
      <c r="F7" s="16">
        <v>44245</v>
      </c>
      <c r="G7" s="17">
        <v>1720000</v>
      </c>
    </row>
    <row r="8" spans="1:10" x14ac:dyDescent="0.25">
      <c r="A8" s="6">
        <v>44246</v>
      </c>
      <c r="B8" t="s">
        <v>12</v>
      </c>
      <c r="C8">
        <v>36</v>
      </c>
      <c r="D8" s="1">
        <v>32000</v>
      </c>
      <c r="E8" s="1">
        <f t="shared" si="0"/>
        <v>1152000</v>
      </c>
      <c r="F8" s="16">
        <v>44246</v>
      </c>
      <c r="G8" s="17">
        <v>1210000</v>
      </c>
      <c r="I8" t="s">
        <v>15</v>
      </c>
      <c r="J8" s="1" t="e">
        <f>I3-J6</f>
        <v>#REF!</v>
      </c>
    </row>
    <row r="9" spans="1:10" x14ac:dyDescent="0.25">
      <c r="A9" s="6">
        <v>44246</v>
      </c>
      <c r="B9" t="s">
        <v>8</v>
      </c>
      <c r="C9">
        <v>50</v>
      </c>
      <c r="D9" s="1">
        <v>35000</v>
      </c>
      <c r="E9" s="1">
        <f t="shared" si="0"/>
        <v>1750000</v>
      </c>
      <c r="F9" s="16">
        <v>44247</v>
      </c>
      <c r="G9" s="17">
        <v>600000</v>
      </c>
    </row>
    <row r="10" spans="1:10" x14ac:dyDescent="0.25">
      <c r="E10"/>
      <c r="F10" s="16">
        <v>44248</v>
      </c>
      <c r="G10" s="17">
        <f>116000+2141000</f>
        <v>2257000</v>
      </c>
    </row>
    <row r="11" spans="1:10" x14ac:dyDescent="0.25">
      <c r="A11" s="6">
        <v>44250</v>
      </c>
      <c r="B11" t="s">
        <v>23</v>
      </c>
      <c r="C11">
        <v>20</v>
      </c>
      <c r="D11" s="1">
        <v>28000</v>
      </c>
      <c r="E11" s="1">
        <f t="shared" ref="E11:E19" si="1">C11*D11</f>
        <v>560000</v>
      </c>
      <c r="F11" s="16">
        <v>44250</v>
      </c>
      <c r="G11" s="17">
        <v>1000000</v>
      </c>
    </row>
    <row r="12" spans="1:10" x14ac:dyDescent="0.25">
      <c r="A12" s="6">
        <v>44251</v>
      </c>
      <c r="B12" t="s">
        <v>8</v>
      </c>
      <c r="C12">
        <v>32</v>
      </c>
      <c r="D12" s="1">
        <v>35000</v>
      </c>
      <c r="E12" s="1">
        <f t="shared" si="1"/>
        <v>1120000</v>
      </c>
      <c r="F12" s="16">
        <v>44250</v>
      </c>
      <c r="G12" s="17">
        <v>2978000</v>
      </c>
      <c r="H12" t="s">
        <v>24</v>
      </c>
    </row>
    <row r="13" spans="1:10" x14ac:dyDescent="0.25">
      <c r="A13" s="6">
        <v>44251</v>
      </c>
      <c r="B13" t="s">
        <v>25</v>
      </c>
      <c r="C13">
        <v>150</v>
      </c>
      <c r="D13" s="1">
        <v>15000</v>
      </c>
      <c r="E13" s="1">
        <f t="shared" si="1"/>
        <v>2250000</v>
      </c>
      <c r="F13" s="16">
        <v>44251</v>
      </c>
      <c r="G13" s="17">
        <f>530000+33000</f>
        <v>563000</v>
      </c>
    </row>
    <row r="14" spans="1:10" x14ac:dyDescent="0.25">
      <c r="A14" s="6">
        <v>44252</v>
      </c>
      <c r="B14" t="s">
        <v>8</v>
      </c>
      <c r="C14">
        <v>30</v>
      </c>
      <c r="D14" s="1">
        <v>35000</v>
      </c>
      <c r="E14" s="1">
        <f t="shared" si="1"/>
        <v>1050000</v>
      </c>
      <c r="F14" s="16">
        <v>44252</v>
      </c>
      <c r="G14" s="17">
        <v>1500000</v>
      </c>
    </row>
    <row r="15" spans="1:10" x14ac:dyDescent="0.25">
      <c r="A15" s="6">
        <v>44252</v>
      </c>
      <c r="B15" t="s">
        <v>12</v>
      </c>
      <c r="C15">
        <v>4</v>
      </c>
      <c r="D15" s="1">
        <v>32000</v>
      </c>
      <c r="E15" s="1">
        <f t="shared" si="1"/>
        <v>128000</v>
      </c>
      <c r="F15" s="16">
        <v>44253</v>
      </c>
      <c r="G15" s="17">
        <v>400000</v>
      </c>
    </row>
    <row r="16" spans="1:10" x14ac:dyDescent="0.25">
      <c r="A16" s="6">
        <v>44252</v>
      </c>
      <c r="B16" t="s">
        <v>26</v>
      </c>
      <c r="C16">
        <v>36</v>
      </c>
      <c r="D16" s="1">
        <v>32000</v>
      </c>
      <c r="E16" s="1">
        <f t="shared" si="1"/>
        <v>1152000</v>
      </c>
      <c r="F16" s="16">
        <v>44254</v>
      </c>
      <c r="G16" s="17">
        <f>198000+60000+100000+965000</f>
        <v>1323000</v>
      </c>
    </row>
    <row r="17" spans="1:8" x14ac:dyDescent="0.25">
      <c r="A17" s="6">
        <v>44253</v>
      </c>
      <c r="B17" t="s">
        <v>26</v>
      </c>
      <c r="C17">
        <v>45</v>
      </c>
      <c r="D17" s="1">
        <v>32000</v>
      </c>
      <c r="E17" s="1">
        <f t="shared" si="1"/>
        <v>1440000</v>
      </c>
      <c r="F17" s="16">
        <v>44254</v>
      </c>
      <c r="G17" s="17">
        <v>35000</v>
      </c>
    </row>
    <row r="18" spans="1:8" x14ac:dyDescent="0.25">
      <c r="A18" s="6">
        <v>44253</v>
      </c>
      <c r="B18" t="s">
        <v>16</v>
      </c>
      <c r="C18">
        <v>40</v>
      </c>
      <c r="D18" s="1">
        <v>33000</v>
      </c>
      <c r="E18" s="1">
        <f t="shared" si="1"/>
        <v>1320000</v>
      </c>
      <c r="F18" s="16">
        <v>44255</v>
      </c>
      <c r="G18" s="17">
        <v>2447000</v>
      </c>
    </row>
    <row r="19" spans="1:8" x14ac:dyDescent="0.25">
      <c r="A19" s="6">
        <v>44254</v>
      </c>
      <c r="B19" t="s">
        <v>12</v>
      </c>
      <c r="C19">
        <v>40</v>
      </c>
      <c r="D19" s="1">
        <v>32000</v>
      </c>
      <c r="E19" s="1">
        <f t="shared" si="1"/>
        <v>1280000</v>
      </c>
    </row>
    <row r="20" spans="1:8" x14ac:dyDescent="0.25">
      <c r="E20"/>
      <c r="F20" s="16">
        <v>44257</v>
      </c>
      <c r="G20" s="17">
        <f>2820000+25000</f>
        <v>2845000</v>
      </c>
    </row>
    <row r="21" spans="1:8" x14ac:dyDescent="0.25">
      <c r="A21" s="6">
        <v>44257</v>
      </c>
      <c r="B21" t="s">
        <v>16</v>
      </c>
      <c r="C21">
        <v>56</v>
      </c>
      <c r="D21" s="1">
        <v>33000</v>
      </c>
      <c r="E21" s="1">
        <f t="shared" ref="E21:E31" si="2">C21*D21</f>
        <v>1848000</v>
      </c>
      <c r="F21" s="16">
        <v>44258</v>
      </c>
      <c r="G21" s="17">
        <v>700000</v>
      </c>
    </row>
    <row r="22" spans="1:8" x14ac:dyDescent="0.25">
      <c r="A22" s="6">
        <v>44257</v>
      </c>
      <c r="B22" t="s">
        <v>8</v>
      </c>
      <c r="C22">
        <v>36</v>
      </c>
      <c r="D22" s="1">
        <v>35000</v>
      </c>
      <c r="E22" s="1">
        <f t="shared" si="2"/>
        <v>1260000</v>
      </c>
      <c r="F22" s="16">
        <v>44259</v>
      </c>
      <c r="G22" s="17">
        <v>7672000</v>
      </c>
    </row>
    <row r="23" spans="1:8" x14ac:dyDescent="0.25">
      <c r="A23" s="6">
        <v>44258</v>
      </c>
      <c r="B23" t="s">
        <v>8</v>
      </c>
      <c r="C23">
        <v>60</v>
      </c>
      <c r="D23" s="1">
        <v>35000</v>
      </c>
      <c r="E23" s="1">
        <f t="shared" si="2"/>
        <v>2100000</v>
      </c>
      <c r="F23" s="16">
        <v>44260</v>
      </c>
      <c r="G23" s="17">
        <v>2934000</v>
      </c>
    </row>
    <row r="24" spans="1:8" x14ac:dyDescent="0.25">
      <c r="A24" s="6">
        <v>44258</v>
      </c>
      <c r="B24" t="s">
        <v>12</v>
      </c>
      <c r="C24">
        <v>54</v>
      </c>
      <c r="D24" s="1">
        <v>32000</v>
      </c>
      <c r="E24" s="1">
        <f t="shared" si="2"/>
        <v>1728000</v>
      </c>
      <c r="F24" s="16">
        <v>44261</v>
      </c>
      <c r="G24" s="17">
        <v>1598000</v>
      </c>
    </row>
    <row r="25" spans="1:8" x14ac:dyDescent="0.25">
      <c r="A25" s="6">
        <v>44259</v>
      </c>
      <c r="B25" t="s">
        <v>8</v>
      </c>
      <c r="C25">
        <v>40</v>
      </c>
      <c r="D25" s="1">
        <v>35000</v>
      </c>
      <c r="E25" s="1">
        <f t="shared" si="2"/>
        <v>1400000</v>
      </c>
      <c r="F25" s="16">
        <v>44262</v>
      </c>
      <c r="G25" s="17">
        <v>1068000</v>
      </c>
      <c r="H25" t="s">
        <v>31</v>
      </c>
    </row>
    <row r="26" spans="1:8" x14ac:dyDescent="0.25">
      <c r="A26" s="6">
        <v>44259</v>
      </c>
      <c r="B26" t="s">
        <v>16</v>
      </c>
      <c r="C26">
        <v>22</v>
      </c>
      <c r="D26" s="1">
        <v>33000</v>
      </c>
      <c r="E26" s="1">
        <f t="shared" si="2"/>
        <v>726000</v>
      </c>
      <c r="F26" s="16">
        <v>44262</v>
      </c>
      <c r="G26" s="17">
        <v>328000</v>
      </c>
      <c r="H26" t="s">
        <v>9</v>
      </c>
    </row>
    <row r="27" spans="1:8" x14ac:dyDescent="0.25">
      <c r="A27" s="6">
        <v>44259</v>
      </c>
      <c r="B27" t="s">
        <v>12</v>
      </c>
      <c r="C27">
        <v>6</v>
      </c>
      <c r="D27" s="1">
        <v>32000</v>
      </c>
      <c r="E27" s="1">
        <f t="shared" si="2"/>
        <v>192000</v>
      </c>
      <c r="F27" s="16">
        <v>44262</v>
      </c>
      <c r="G27" s="17">
        <v>4246000</v>
      </c>
      <c r="H27" t="s">
        <v>33</v>
      </c>
    </row>
    <row r="28" spans="1:8" x14ac:dyDescent="0.25">
      <c r="A28" s="6">
        <v>44260</v>
      </c>
      <c r="B28" t="s">
        <v>12</v>
      </c>
      <c r="C28">
        <v>38</v>
      </c>
      <c r="D28" s="1">
        <v>32000</v>
      </c>
      <c r="E28" s="1">
        <f t="shared" si="2"/>
        <v>1216000</v>
      </c>
    </row>
    <row r="29" spans="1:8" x14ac:dyDescent="0.25">
      <c r="A29" s="6">
        <v>44260</v>
      </c>
      <c r="B29" t="s">
        <v>8</v>
      </c>
      <c r="C29">
        <v>20</v>
      </c>
      <c r="D29" s="1">
        <v>35000</v>
      </c>
      <c r="E29" s="1">
        <f t="shared" si="2"/>
        <v>700000</v>
      </c>
      <c r="F29" s="16">
        <v>44264</v>
      </c>
      <c r="G29" s="17">
        <v>3170000</v>
      </c>
    </row>
    <row r="30" spans="1:8" x14ac:dyDescent="0.25">
      <c r="A30" s="6">
        <v>44261</v>
      </c>
      <c r="B30" t="s">
        <v>8</v>
      </c>
      <c r="C30">
        <v>64</v>
      </c>
      <c r="D30" s="1">
        <v>35000</v>
      </c>
      <c r="E30" s="1">
        <f t="shared" si="2"/>
        <v>2240000</v>
      </c>
      <c r="F30" s="16">
        <v>44265</v>
      </c>
      <c r="G30" s="17">
        <v>2100000</v>
      </c>
    </row>
    <row r="31" spans="1:8" x14ac:dyDescent="0.25">
      <c r="A31" s="6">
        <v>44261</v>
      </c>
      <c r="B31" t="s">
        <v>12</v>
      </c>
      <c r="C31">
        <v>41</v>
      </c>
      <c r="D31" s="1">
        <v>32000</v>
      </c>
      <c r="E31" s="1">
        <f t="shared" si="2"/>
        <v>1312000</v>
      </c>
      <c r="F31" s="16">
        <v>44266</v>
      </c>
      <c r="G31" s="17">
        <v>1320000</v>
      </c>
    </row>
    <row r="32" spans="1:8" x14ac:dyDescent="0.25">
      <c r="E32"/>
      <c r="F32" s="16">
        <v>44267</v>
      </c>
      <c r="G32" s="17">
        <v>3700000</v>
      </c>
    </row>
    <row r="33" spans="1:8" x14ac:dyDescent="0.25">
      <c r="A33" s="6">
        <v>44263</v>
      </c>
      <c r="B33" t="s">
        <v>8</v>
      </c>
      <c r="C33">
        <v>58</v>
      </c>
      <c r="D33" s="18">
        <v>35000</v>
      </c>
      <c r="E33" s="1">
        <f t="shared" ref="E33:E51" si="3">C33*D33</f>
        <v>2030000</v>
      </c>
      <c r="F33" s="16">
        <v>44268</v>
      </c>
      <c r="G33" s="17">
        <v>2830000</v>
      </c>
    </row>
    <row r="34" spans="1:8" x14ac:dyDescent="0.25">
      <c r="A34" s="6">
        <v>44264</v>
      </c>
      <c r="B34" t="s">
        <v>12</v>
      </c>
      <c r="C34">
        <v>12</v>
      </c>
      <c r="D34" s="1">
        <v>32000</v>
      </c>
      <c r="E34" s="1">
        <f t="shared" si="3"/>
        <v>384000</v>
      </c>
      <c r="F34" s="16">
        <v>44269</v>
      </c>
      <c r="G34" s="17">
        <v>10918000</v>
      </c>
    </row>
    <row r="35" spans="1:8" x14ac:dyDescent="0.25">
      <c r="A35" s="6">
        <v>44264</v>
      </c>
      <c r="B35" t="s">
        <v>12</v>
      </c>
      <c r="C35">
        <v>20</v>
      </c>
      <c r="D35" s="1">
        <v>31000</v>
      </c>
      <c r="E35" s="1">
        <f t="shared" si="3"/>
        <v>620000</v>
      </c>
      <c r="F35" s="16">
        <v>44271</v>
      </c>
      <c r="G35" s="17">
        <v>3800000</v>
      </c>
    </row>
    <row r="36" spans="1:8" x14ac:dyDescent="0.25">
      <c r="A36" s="6">
        <v>44264</v>
      </c>
      <c r="B36" t="s">
        <v>8</v>
      </c>
      <c r="C36">
        <v>10</v>
      </c>
      <c r="D36" s="1">
        <v>35000</v>
      </c>
      <c r="E36" s="1">
        <f t="shared" si="3"/>
        <v>350000</v>
      </c>
      <c r="F36" s="16">
        <v>44272</v>
      </c>
      <c r="G36" s="17">
        <v>7135000</v>
      </c>
    </row>
    <row r="37" spans="1:8" x14ac:dyDescent="0.25">
      <c r="A37" s="6">
        <v>44264</v>
      </c>
      <c r="B37" t="s">
        <v>13</v>
      </c>
      <c r="C37">
        <v>8</v>
      </c>
      <c r="D37" s="1">
        <v>33000</v>
      </c>
      <c r="E37" s="1">
        <f t="shared" si="3"/>
        <v>264000</v>
      </c>
      <c r="F37" s="16">
        <v>44273</v>
      </c>
      <c r="G37" s="17">
        <v>10205000</v>
      </c>
    </row>
    <row r="38" spans="1:8" x14ac:dyDescent="0.25">
      <c r="A38" s="6">
        <v>44264</v>
      </c>
      <c r="B38" t="s">
        <v>13</v>
      </c>
      <c r="C38">
        <v>10</v>
      </c>
      <c r="D38" s="1">
        <v>32000</v>
      </c>
      <c r="E38" s="1">
        <f t="shared" si="3"/>
        <v>320000</v>
      </c>
      <c r="F38" s="16">
        <v>44274</v>
      </c>
      <c r="G38" s="17">
        <v>1600000</v>
      </c>
    </row>
    <row r="39" spans="1:8" x14ac:dyDescent="0.25">
      <c r="A39" s="6">
        <v>44265</v>
      </c>
      <c r="B39" t="s">
        <v>16</v>
      </c>
      <c r="C39">
        <v>70</v>
      </c>
      <c r="D39" s="1">
        <v>33000</v>
      </c>
      <c r="E39" s="1">
        <f t="shared" si="3"/>
        <v>2310000</v>
      </c>
      <c r="F39" s="16">
        <v>44275</v>
      </c>
      <c r="G39" s="17">
        <v>800000</v>
      </c>
    </row>
    <row r="40" spans="1:8" x14ac:dyDescent="0.25">
      <c r="A40" s="6">
        <v>44265</v>
      </c>
      <c r="B40" t="s">
        <v>13</v>
      </c>
      <c r="C40">
        <v>16</v>
      </c>
      <c r="D40" s="1">
        <v>33000</v>
      </c>
      <c r="E40" s="1">
        <f t="shared" si="3"/>
        <v>528000</v>
      </c>
      <c r="F40" s="16">
        <v>44276</v>
      </c>
      <c r="G40" s="17">
        <v>9964000</v>
      </c>
    </row>
    <row r="41" spans="1:8" x14ac:dyDescent="0.25">
      <c r="A41" s="6">
        <v>44266</v>
      </c>
      <c r="B41" t="s">
        <v>12</v>
      </c>
      <c r="C41">
        <v>12</v>
      </c>
      <c r="D41" s="1">
        <v>32000</v>
      </c>
      <c r="E41" s="1">
        <f t="shared" si="3"/>
        <v>384000</v>
      </c>
    </row>
    <row r="42" spans="1:8" x14ac:dyDescent="0.25">
      <c r="A42" s="6">
        <v>44266</v>
      </c>
      <c r="B42" t="s">
        <v>16</v>
      </c>
      <c r="C42">
        <v>2</v>
      </c>
      <c r="D42" s="1">
        <v>33000</v>
      </c>
      <c r="E42" s="1">
        <f t="shared" si="3"/>
        <v>66000</v>
      </c>
      <c r="F42" s="16">
        <v>44276</v>
      </c>
      <c r="G42" s="17">
        <f>12*38000</f>
        <v>456000</v>
      </c>
      <c r="H42" t="s">
        <v>36</v>
      </c>
    </row>
    <row r="43" spans="1:8" x14ac:dyDescent="0.25">
      <c r="A43" s="6">
        <v>44266</v>
      </c>
      <c r="B43" t="s">
        <v>34</v>
      </c>
      <c r="C43">
        <v>148</v>
      </c>
      <c r="D43" s="1">
        <v>33500</v>
      </c>
      <c r="E43" s="1">
        <f t="shared" si="3"/>
        <v>4958000</v>
      </c>
      <c r="F43" s="16">
        <v>44278</v>
      </c>
      <c r="G43" s="17">
        <v>3000000</v>
      </c>
    </row>
    <row r="44" spans="1:8" x14ac:dyDescent="0.25">
      <c r="A44" s="6">
        <v>44267</v>
      </c>
      <c r="B44" t="s">
        <v>12</v>
      </c>
      <c r="C44">
        <v>80</v>
      </c>
      <c r="D44" s="1">
        <v>32000</v>
      </c>
      <c r="E44" s="1">
        <f t="shared" si="3"/>
        <v>2560000</v>
      </c>
      <c r="F44" s="16">
        <v>44279</v>
      </c>
      <c r="G44" s="17">
        <v>11065000</v>
      </c>
    </row>
    <row r="45" spans="1:8" x14ac:dyDescent="0.25">
      <c r="A45" s="6">
        <v>44267</v>
      </c>
      <c r="B45" t="s">
        <v>13</v>
      </c>
      <c r="C45">
        <v>1</v>
      </c>
      <c r="D45" s="1">
        <v>33000</v>
      </c>
      <c r="E45" s="1">
        <f t="shared" si="3"/>
        <v>33000</v>
      </c>
      <c r="F45" s="16">
        <v>44280</v>
      </c>
      <c r="G45" s="17">
        <v>3100000</v>
      </c>
    </row>
    <row r="46" spans="1:8" x14ac:dyDescent="0.25">
      <c r="A46" s="6">
        <v>44267</v>
      </c>
      <c r="B46" t="s">
        <v>8</v>
      </c>
      <c r="C46">
        <v>12</v>
      </c>
      <c r="D46" s="1">
        <v>35000</v>
      </c>
      <c r="E46" s="1">
        <f t="shared" si="3"/>
        <v>420000</v>
      </c>
      <c r="F46" s="16">
        <v>44465</v>
      </c>
      <c r="G46" s="17">
        <v>900000</v>
      </c>
    </row>
    <row r="47" spans="1:8" x14ac:dyDescent="0.25">
      <c r="A47" s="6">
        <v>44267</v>
      </c>
      <c r="B47" t="s">
        <v>34</v>
      </c>
      <c r="C47">
        <v>8</v>
      </c>
      <c r="D47" s="1">
        <v>33500</v>
      </c>
      <c r="E47" s="1">
        <f t="shared" si="3"/>
        <v>268000</v>
      </c>
      <c r="F47" s="16">
        <v>44282</v>
      </c>
      <c r="G47" s="17">
        <v>12500000</v>
      </c>
    </row>
    <row r="48" spans="1:8" x14ac:dyDescent="0.25">
      <c r="A48" s="6">
        <v>44268</v>
      </c>
      <c r="B48" t="s">
        <v>16</v>
      </c>
      <c r="C48">
        <v>80</v>
      </c>
      <c r="D48" s="1">
        <v>33000</v>
      </c>
      <c r="E48" s="1">
        <f t="shared" si="3"/>
        <v>2640000</v>
      </c>
      <c r="F48" s="16">
        <v>44283</v>
      </c>
      <c r="G48" s="17">
        <v>7332000</v>
      </c>
    </row>
    <row r="49" spans="1:8" x14ac:dyDescent="0.25">
      <c r="A49" s="6">
        <v>44268</v>
      </c>
      <c r="B49" t="s">
        <v>8</v>
      </c>
      <c r="C49">
        <v>20</v>
      </c>
      <c r="D49" s="1">
        <v>35000</v>
      </c>
      <c r="E49" s="1">
        <f t="shared" si="3"/>
        <v>700000</v>
      </c>
    </row>
    <row r="50" spans="1:8" x14ac:dyDescent="0.25">
      <c r="A50" s="6">
        <v>44268</v>
      </c>
      <c r="B50" t="s">
        <v>34</v>
      </c>
      <c r="C50">
        <v>60</v>
      </c>
      <c r="D50" s="1">
        <v>33500</v>
      </c>
      <c r="E50" s="1">
        <f t="shared" si="3"/>
        <v>2010000</v>
      </c>
      <c r="F50" s="16">
        <v>44285</v>
      </c>
      <c r="G50" s="17">
        <v>4220000</v>
      </c>
    </row>
    <row r="51" spans="1:8" x14ac:dyDescent="0.25">
      <c r="A51" s="6">
        <v>44268</v>
      </c>
      <c r="B51" t="s">
        <v>17</v>
      </c>
      <c r="C51">
        <v>10</v>
      </c>
      <c r="D51" s="1">
        <v>28000</v>
      </c>
      <c r="E51" s="1">
        <f t="shared" si="3"/>
        <v>280000</v>
      </c>
      <c r="F51" s="16">
        <v>44287</v>
      </c>
      <c r="G51" s="17">
        <v>14338000</v>
      </c>
    </row>
    <row r="52" spans="1:8" x14ac:dyDescent="0.25">
      <c r="E52"/>
      <c r="F52" s="16">
        <v>44288</v>
      </c>
      <c r="G52" s="17">
        <v>350000</v>
      </c>
    </row>
    <row r="53" spans="1:8" x14ac:dyDescent="0.25">
      <c r="A53" s="6">
        <v>44270</v>
      </c>
      <c r="B53" t="s">
        <v>8</v>
      </c>
      <c r="C53">
        <v>40</v>
      </c>
      <c r="D53" s="1">
        <v>35000</v>
      </c>
      <c r="E53" s="1">
        <f t="shared" ref="E53:E66" si="4">C53*D53</f>
        <v>1400000</v>
      </c>
      <c r="F53" s="16">
        <v>44289</v>
      </c>
      <c r="G53" s="17">
        <v>550000</v>
      </c>
    </row>
    <row r="54" spans="1:8" x14ac:dyDescent="0.25">
      <c r="A54" s="6">
        <v>44270</v>
      </c>
      <c r="B54" t="s">
        <v>34</v>
      </c>
      <c r="C54">
        <v>90</v>
      </c>
      <c r="D54" s="1">
        <v>33500</v>
      </c>
      <c r="E54" s="1">
        <f t="shared" si="4"/>
        <v>3015000</v>
      </c>
      <c r="F54" s="16">
        <v>44289</v>
      </c>
      <c r="G54" s="17">
        <v>870000</v>
      </c>
      <c r="H54" t="s">
        <v>9</v>
      </c>
    </row>
    <row r="55" spans="1:8" x14ac:dyDescent="0.25">
      <c r="A55" s="6">
        <v>44271</v>
      </c>
      <c r="B55" t="s">
        <v>34</v>
      </c>
      <c r="C55">
        <v>174</v>
      </c>
      <c r="D55" s="1">
        <v>33500</v>
      </c>
      <c r="E55" s="1">
        <f t="shared" si="4"/>
        <v>5829000</v>
      </c>
      <c r="F55" s="16">
        <v>44286</v>
      </c>
      <c r="G55" s="17">
        <v>650000</v>
      </c>
    </row>
    <row r="56" spans="1:8" x14ac:dyDescent="0.25">
      <c r="A56" s="6">
        <v>44272</v>
      </c>
      <c r="B56" t="s">
        <v>34</v>
      </c>
      <c r="C56">
        <v>126</v>
      </c>
      <c r="D56" s="1">
        <v>33500</v>
      </c>
      <c r="E56" s="1">
        <f t="shared" si="4"/>
        <v>4221000</v>
      </c>
      <c r="F56" s="16">
        <v>44290</v>
      </c>
      <c r="G56" s="17">
        <v>11394000</v>
      </c>
    </row>
    <row r="57" spans="1:8" x14ac:dyDescent="0.25">
      <c r="A57" s="6">
        <v>44272</v>
      </c>
      <c r="B57" t="s">
        <v>8</v>
      </c>
      <c r="C57">
        <v>60</v>
      </c>
      <c r="D57" s="1">
        <v>35000</v>
      </c>
      <c r="E57" s="1">
        <f t="shared" si="4"/>
        <v>2100000</v>
      </c>
    </row>
    <row r="58" spans="1:8" x14ac:dyDescent="0.25">
      <c r="A58" s="6">
        <v>44272</v>
      </c>
      <c r="B58" t="s">
        <v>12</v>
      </c>
      <c r="C58">
        <v>48</v>
      </c>
      <c r="D58" s="1">
        <v>32000</v>
      </c>
      <c r="E58" s="1">
        <f t="shared" si="4"/>
        <v>1536000</v>
      </c>
      <c r="F58" s="16">
        <v>44292</v>
      </c>
      <c r="G58" s="17">
        <v>4500000</v>
      </c>
    </row>
    <row r="59" spans="1:8" x14ac:dyDescent="0.25">
      <c r="A59" s="6">
        <v>44273</v>
      </c>
      <c r="B59" t="s">
        <v>12</v>
      </c>
      <c r="C59">
        <v>28</v>
      </c>
      <c r="D59" s="1">
        <v>32000</v>
      </c>
      <c r="E59" s="1">
        <f t="shared" si="4"/>
        <v>896000</v>
      </c>
      <c r="F59" s="16">
        <v>44293</v>
      </c>
      <c r="G59" s="17">
        <v>560000</v>
      </c>
    </row>
    <row r="60" spans="1:8" x14ac:dyDescent="0.25">
      <c r="A60" s="6">
        <v>44273</v>
      </c>
      <c r="B60" t="s">
        <v>34</v>
      </c>
      <c r="C60">
        <v>74</v>
      </c>
      <c r="D60" s="1">
        <v>33500</v>
      </c>
      <c r="E60" s="1">
        <f t="shared" si="4"/>
        <v>2479000</v>
      </c>
      <c r="F60" s="16">
        <v>44294</v>
      </c>
      <c r="G60" s="17">
        <v>1200000</v>
      </c>
    </row>
    <row r="61" spans="1:8" x14ac:dyDescent="0.25">
      <c r="A61" s="6">
        <v>44274</v>
      </c>
      <c r="B61" t="s">
        <v>34</v>
      </c>
      <c r="C61">
        <v>96</v>
      </c>
      <c r="D61" s="1">
        <v>33500</v>
      </c>
      <c r="E61" s="1">
        <f t="shared" si="4"/>
        <v>3216000</v>
      </c>
      <c r="F61" s="16">
        <v>44295</v>
      </c>
      <c r="G61" s="17">
        <v>1900000</v>
      </c>
    </row>
    <row r="62" spans="1:8" x14ac:dyDescent="0.25">
      <c r="A62" s="6">
        <v>44274</v>
      </c>
      <c r="B62" t="s">
        <v>12</v>
      </c>
      <c r="C62">
        <v>48</v>
      </c>
      <c r="D62" s="1">
        <v>32000</v>
      </c>
      <c r="E62" s="1">
        <f t="shared" si="4"/>
        <v>1536000</v>
      </c>
      <c r="F62" s="16">
        <v>44296</v>
      </c>
      <c r="G62" s="17">
        <v>4200000</v>
      </c>
    </row>
    <row r="63" spans="1:8" x14ac:dyDescent="0.25">
      <c r="A63" s="6">
        <v>44275</v>
      </c>
      <c r="B63" t="s">
        <v>16</v>
      </c>
      <c r="C63">
        <v>38</v>
      </c>
      <c r="D63" s="1">
        <v>33000</v>
      </c>
      <c r="E63" s="1">
        <f t="shared" si="4"/>
        <v>1254000</v>
      </c>
      <c r="F63" s="16">
        <v>44297</v>
      </c>
      <c r="G63" s="17">
        <v>7816500</v>
      </c>
    </row>
    <row r="64" spans="1:8" x14ac:dyDescent="0.25">
      <c r="A64" s="6">
        <v>44275</v>
      </c>
      <c r="B64" t="s">
        <v>12</v>
      </c>
      <c r="C64">
        <v>76</v>
      </c>
      <c r="D64" s="1">
        <v>32000</v>
      </c>
      <c r="E64" s="1">
        <f t="shared" si="4"/>
        <v>2432000</v>
      </c>
    </row>
    <row r="65" spans="1:8" x14ac:dyDescent="0.25">
      <c r="A65" s="6">
        <v>44275</v>
      </c>
      <c r="B65" t="s">
        <v>34</v>
      </c>
      <c r="C65">
        <v>138</v>
      </c>
      <c r="D65" s="1">
        <v>33500</v>
      </c>
      <c r="E65" s="1">
        <f t="shared" si="4"/>
        <v>4623000</v>
      </c>
      <c r="F65" s="16">
        <v>44299</v>
      </c>
      <c r="G65" s="17">
        <v>2400000</v>
      </c>
    </row>
    <row r="66" spans="1:8" x14ac:dyDescent="0.25">
      <c r="A66" s="6">
        <v>44275</v>
      </c>
      <c r="B66" t="s">
        <v>8</v>
      </c>
      <c r="C66">
        <v>114</v>
      </c>
      <c r="D66" s="1">
        <v>35000</v>
      </c>
      <c r="E66" s="1">
        <f t="shared" si="4"/>
        <v>3990000</v>
      </c>
      <c r="F66" s="16">
        <v>44300</v>
      </c>
      <c r="G66" s="17">
        <v>2020000</v>
      </c>
    </row>
    <row r="67" spans="1:8" x14ac:dyDescent="0.25">
      <c r="E67"/>
      <c r="F67" s="16">
        <v>44301</v>
      </c>
      <c r="G67" s="17">
        <v>3550000</v>
      </c>
    </row>
    <row r="68" spans="1:8" x14ac:dyDescent="0.25">
      <c r="A68" s="6">
        <v>44277</v>
      </c>
      <c r="B68" t="s">
        <v>37</v>
      </c>
      <c r="C68">
        <v>54</v>
      </c>
      <c r="D68" s="1">
        <v>33000</v>
      </c>
      <c r="E68" s="1">
        <f t="shared" ref="E68:E73" si="5">C68*D68</f>
        <v>1782000</v>
      </c>
      <c r="F68" s="16">
        <v>44302</v>
      </c>
      <c r="G68" s="17">
        <v>445000</v>
      </c>
    </row>
    <row r="69" spans="1:8" x14ac:dyDescent="0.25">
      <c r="A69" s="6">
        <v>44278</v>
      </c>
      <c r="B69" t="s">
        <v>34</v>
      </c>
      <c r="C69">
        <v>210</v>
      </c>
      <c r="D69" s="1">
        <v>33500</v>
      </c>
      <c r="E69" s="1">
        <f t="shared" si="5"/>
        <v>7035000</v>
      </c>
      <c r="F69" s="16">
        <v>44303</v>
      </c>
      <c r="G69" s="17">
        <v>3700000</v>
      </c>
    </row>
    <row r="70" spans="1:8" x14ac:dyDescent="0.25">
      <c r="A70" s="6">
        <v>44279</v>
      </c>
      <c r="B70" t="s">
        <v>34</v>
      </c>
      <c r="C70">
        <v>144</v>
      </c>
      <c r="D70" s="1">
        <v>33500</v>
      </c>
      <c r="E70" s="1">
        <f t="shared" si="5"/>
        <v>4824000</v>
      </c>
      <c r="F70" s="16">
        <v>44304</v>
      </c>
      <c r="G70" s="17">
        <v>2974500</v>
      </c>
    </row>
    <row r="71" spans="1:8" x14ac:dyDescent="0.25">
      <c r="A71" s="6">
        <v>44280</v>
      </c>
      <c r="B71" t="s">
        <v>38</v>
      </c>
      <c r="C71">
        <v>114</v>
      </c>
      <c r="D71" s="1">
        <v>35000</v>
      </c>
      <c r="E71" s="1">
        <f t="shared" si="5"/>
        <v>3990000</v>
      </c>
      <c r="F71" s="16">
        <v>44304</v>
      </c>
      <c r="G71" s="17">
        <v>12035000</v>
      </c>
      <c r="H71" t="s">
        <v>45</v>
      </c>
    </row>
    <row r="72" spans="1:8" x14ac:dyDescent="0.25">
      <c r="A72" s="6">
        <v>44281</v>
      </c>
      <c r="B72" t="s">
        <v>37</v>
      </c>
      <c r="C72">
        <v>64</v>
      </c>
      <c r="D72" s="1">
        <v>33000</v>
      </c>
      <c r="E72" s="1">
        <f t="shared" si="5"/>
        <v>2112000</v>
      </c>
    </row>
    <row r="73" spans="1:8" x14ac:dyDescent="0.25">
      <c r="A73" s="6">
        <v>44282</v>
      </c>
      <c r="B73" t="s">
        <v>34</v>
      </c>
      <c r="C73">
        <v>510</v>
      </c>
      <c r="D73" s="1">
        <v>33500</v>
      </c>
      <c r="E73" s="1">
        <f t="shared" si="5"/>
        <v>17085000</v>
      </c>
      <c r="F73" s="16">
        <v>44306</v>
      </c>
      <c r="G73" s="17">
        <v>2600000</v>
      </c>
    </row>
    <row r="74" spans="1:8" x14ac:dyDescent="0.25">
      <c r="E74"/>
      <c r="F74" s="16">
        <v>44307</v>
      </c>
      <c r="G74" s="17">
        <v>2255000</v>
      </c>
    </row>
    <row r="75" spans="1:8" x14ac:dyDescent="0.25">
      <c r="A75" s="6">
        <v>44284</v>
      </c>
      <c r="B75" t="s">
        <v>34</v>
      </c>
      <c r="C75">
        <v>168</v>
      </c>
      <c r="D75" s="1">
        <v>33500</v>
      </c>
      <c r="E75" s="1">
        <f>C75*D75</f>
        <v>5628000</v>
      </c>
      <c r="F75" s="16">
        <v>44308</v>
      </c>
      <c r="G75" s="17">
        <v>4125000</v>
      </c>
    </row>
    <row r="76" spans="1:8" x14ac:dyDescent="0.25">
      <c r="A76" s="6">
        <v>44285</v>
      </c>
      <c r="B76" t="s">
        <v>34</v>
      </c>
      <c r="C76">
        <v>336</v>
      </c>
      <c r="D76" s="1">
        <v>33500</v>
      </c>
      <c r="E76" s="1">
        <f>C76*D76</f>
        <v>11256000</v>
      </c>
      <c r="F76" s="16">
        <v>44309</v>
      </c>
      <c r="G76" s="17">
        <v>450000</v>
      </c>
    </row>
    <row r="77" spans="1:8" x14ac:dyDescent="0.25">
      <c r="A77" s="6">
        <v>44288</v>
      </c>
      <c r="B77" t="s">
        <v>34</v>
      </c>
      <c r="C77">
        <v>210</v>
      </c>
      <c r="D77" s="1">
        <v>33500</v>
      </c>
      <c r="E77" s="1">
        <f>C77*D77</f>
        <v>7035000</v>
      </c>
      <c r="F77" s="16">
        <v>44310</v>
      </c>
      <c r="G77" s="17">
        <v>10830000</v>
      </c>
    </row>
    <row r="78" spans="1:8" x14ac:dyDescent="0.25">
      <c r="A78" s="6">
        <v>44289</v>
      </c>
      <c r="B78" t="s">
        <v>34</v>
      </c>
      <c r="C78">
        <v>240</v>
      </c>
      <c r="D78" s="1">
        <v>33500</v>
      </c>
      <c r="E78" s="1">
        <f>C78*D78</f>
        <v>8040000</v>
      </c>
      <c r="F78" s="16">
        <v>44311</v>
      </c>
      <c r="G78" s="17">
        <v>771000</v>
      </c>
    </row>
    <row r="79" spans="1:8" x14ac:dyDescent="0.25">
      <c r="E79"/>
      <c r="F79" s="16">
        <v>44311</v>
      </c>
      <c r="G79" s="17">
        <v>457500</v>
      </c>
      <c r="H79" t="s">
        <v>45</v>
      </c>
    </row>
    <row r="80" spans="1:8" x14ac:dyDescent="0.25">
      <c r="A80" s="6">
        <v>44291</v>
      </c>
      <c r="B80" t="s">
        <v>39</v>
      </c>
      <c r="C80">
        <v>32</v>
      </c>
      <c r="D80" s="1">
        <v>35000</v>
      </c>
      <c r="E80" s="1">
        <f t="shared" ref="E80:E89" si="6">C80*D80</f>
        <v>1120000</v>
      </c>
    </row>
    <row r="81" spans="1:5" x14ac:dyDescent="0.25">
      <c r="A81" s="6">
        <v>44292</v>
      </c>
      <c r="B81" t="s">
        <v>39</v>
      </c>
      <c r="C81">
        <v>50</v>
      </c>
      <c r="D81" s="1">
        <v>35000</v>
      </c>
      <c r="E81" s="1">
        <f t="shared" si="6"/>
        <v>1750000</v>
      </c>
    </row>
    <row r="82" spans="1:5" x14ac:dyDescent="0.25">
      <c r="A82" s="6">
        <v>44292</v>
      </c>
      <c r="B82" t="s">
        <v>40</v>
      </c>
      <c r="C82">
        <v>34</v>
      </c>
      <c r="D82" s="1">
        <v>27000</v>
      </c>
      <c r="E82" s="1">
        <f t="shared" si="6"/>
        <v>918000</v>
      </c>
    </row>
    <row r="83" spans="1:5" x14ac:dyDescent="0.25">
      <c r="A83" s="6">
        <v>44293</v>
      </c>
      <c r="B83" t="s">
        <v>8</v>
      </c>
      <c r="C83">
        <v>44</v>
      </c>
      <c r="D83" s="1">
        <v>35000</v>
      </c>
      <c r="E83" s="1">
        <f t="shared" si="6"/>
        <v>1540000</v>
      </c>
    </row>
    <row r="84" spans="1:5" x14ac:dyDescent="0.25">
      <c r="A84" s="6">
        <v>44293</v>
      </c>
      <c r="B84" t="s">
        <v>39</v>
      </c>
      <c r="C84">
        <v>36</v>
      </c>
      <c r="D84" s="1">
        <v>35000</v>
      </c>
      <c r="E84" s="1">
        <f t="shared" si="6"/>
        <v>1260000</v>
      </c>
    </row>
    <row r="85" spans="1:5" x14ac:dyDescent="0.25">
      <c r="A85" s="6">
        <v>44294</v>
      </c>
      <c r="B85" t="s">
        <v>41</v>
      </c>
      <c r="C85">
        <f>17*6+4</f>
        <v>106</v>
      </c>
      <c r="D85" s="1">
        <v>30000</v>
      </c>
      <c r="E85" s="1">
        <f t="shared" si="6"/>
        <v>3180000</v>
      </c>
    </row>
    <row r="86" spans="1:5" x14ac:dyDescent="0.25">
      <c r="A86" s="6">
        <v>44294</v>
      </c>
      <c r="B86" t="s">
        <v>40</v>
      </c>
      <c r="C86">
        <v>2</v>
      </c>
      <c r="D86" s="1">
        <v>27000</v>
      </c>
      <c r="E86" s="1">
        <f t="shared" si="6"/>
        <v>54000</v>
      </c>
    </row>
    <row r="87" spans="1:5" x14ac:dyDescent="0.25">
      <c r="A87" s="6">
        <v>44295</v>
      </c>
      <c r="B87" t="s">
        <v>41</v>
      </c>
      <c r="C87">
        <v>118</v>
      </c>
      <c r="D87" s="1">
        <v>30000</v>
      </c>
      <c r="E87" s="1">
        <f t="shared" si="6"/>
        <v>3540000</v>
      </c>
    </row>
    <row r="88" spans="1:5" x14ac:dyDescent="0.25">
      <c r="A88" s="6">
        <v>44296</v>
      </c>
      <c r="B88" t="s">
        <v>41</v>
      </c>
      <c r="C88">
        <v>120</v>
      </c>
      <c r="D88" s="1">
        <v>30000</v>
      </c>
      <c r="E88" s="1">
        <f t="shared" si="6"/>
        <v>3600000</v>
      </c>
    </row>
    <row r="89" spans="1:5" x14ac:dyDescent="0.25">
      <c r="A89" s="6">
        <v>44296</v>
      </c>
      <c r="B89" t="s">
        <v>42</v>
      </c>
      <c r="C89">
        <v>66</v>
      </c>
      <c r="D89" s="1">
        <v>18500</v>
      </c>
      <c r="E89" s="1">
        <f t="shared" si="6"/>
        <v>1221000</v>
      </c>
    </row>
    <row r="90" spans="1:5" x14ac:dyDescent="0.25">
      <c r="E90"/>
    </row>
    <row r="91" spans="1:5" x14ac:dyDescent="0.25">
      <c r="A91" s="6">
        <v>44298</v>
      </c>
      <c r="B91" t="s">
        <v>39</v>
      </c>
      <c r="C91">
        <v>128</v>
      </c>
      <c r="D91" s="1">
        <v>35000</v>
      </c>
      <c r="E91" s="1">
        <f t="shared" ref="E91:E102" si="7">C91*D91</f>
        <v>4480000</v>
      </c>
    </row>
    <row r="92" spans="1:5" x14ac:dyDescent="0.25">
      <c r="A92" s="6">
        <v>44299</v>
      </c>
      <c r="B92" t="s">
        <v>39</v>
      </c>
      <c r="C92">
        <v>74</v>
      </c>
      <c r="D92" s="1">
        <v>35000</v>
      </c>
      <c r="E92" s="1">
        <f t="shared" si="7"/>
        <v>2590000</v>
      </c>
    </row>
    <row r="93" spans="1:5" x14ac:dyDescent="0.25">
      <c r="A93" s="6">
        <v>44299</v>
      </c>
      <c r="B93" t="s">
        <v>41</v>
      </c>
      <c r="C93">
        <v>24</v>
      </c>
      <c r="D93" s="1">
        <v>30000</v>
      </c>
      <c r="E93" s="1">
        <f t="shared" si="7"/>
        <v>720000</v>
      </c>
    </row>
    <row r="94" spans="1:5" x14ac:dyDescent="0.25">
      <c r="A94" s="6">
        <v>44300</v>
      </c>
      <c r="B94" t="s">
        <v>41</v>
      </c>
      <c r="C94">
        <v>106</v>
      </c>
      <c r="D94" s="1">
        <v>30000</v>
      </c>
      <c r="E94" s="1">
        <f t="shared" si="7"/>
        <v>3180000</v>
      </c>
    </row>
    <row r="95" spans="1:5" x14ac:dyDescent="0.25">
      <c r="A95" s="6">
        <v>44300</v>
      </c>
      <c r="B95" t="s">
        <v>39</v>
      </c>
      <c r="C95">
        <v>20</v>
      </c>
      <c r="D95" s="1">
        <v>35000</v>
      </c>
      <c r="E95" s="1">
        <f t="shared" si="7"/>
        <v>700000</v>
      </c>
    </row>
    <row r="96" spans="1:5" x14ac:dyDescent="0.25">
      <c r="A96" s="6">
        <v>44301</v>
      </c>
      <c r="B96" t="s">
        <v>41</v>
      </c>
      <c r="C96">
        <v>6</v>
      </c>
      <c r="D96" s="1">
        <v>30000</v>
      </c>
      <c r="E96" s="1">
        <f t="shared" si="7"/>
        <v>180000</v>
      </c>
    </row>
    <row r="97" spans="1:5" x14ac:dyDescent="0.25">
      <c r="A97" s="6">
        <v>44301</v>
      </c>
      <c r="B97" t="s">
        <v>40</v>
      </c>
      <c r="C97">
        <v>100</v>
      </c>
      <c r="D97" s="1">
        <v>27000</v>
      </c>
      <c r="E97" s="1">
        <f t="shared" si="7"/>
        <v>2700000</v>
      </c>
    </row>
    <row r="98" spans="1:5" x14ac:dyDescent="0.25">
      <c r="A98" s="6">
        <v>44302</v>
      </c>
      <c r="B98" t="s">
        <v>39</v>
      </c>
      <c r="C98">
        <f>62+3</f>
        <v>65</v>
      </c>
      <c r="D98" s="1">
        <v>35000</v>
      </c>
      <c r="E98" s="1">
        <f t="shared" si="7"/>
        <v>2275000</v>
      </c>
    </row>
    <row r="99" spans="1:5" x14ac:dyDescent="0.25">
      <c r="A99" s="6">
        <v>44302</v>
      </c>
      <c r="B99" t="s">
        <v>40</v>
      </c>
      <c r="C99">
        <v>6</v>
      </c>
      <c r="D99" s="1">
        <v>27000</v>
      </c>
      <c r="E99" s="1">
        <f t="shared" si="7"/>
        <v>162000</v>
      </c>
    </row>
    <row r="100" spans="1:5" x14ac:dyDescent="0.25">
      <c r="A100" s="6">
        <v>44302</v>
      </c>
      <c r="B100" t="s">
        <v>41</v>
      </c>
      <c r="C100">
        <v>4</v>
      </c>
      <c r="D100" s="1">
        <v>30000</v>
      </c>
      <c r="E100" s="1">
        <f t="shared" si="7"/>
        <v>120000</v>
      </c>
    </row>
    <row r="101" spans="1:5" x14ac:dyDescent="0.25">
      <c r="A101" s="6">
        <v>44303</v>
      </c>
      <c r="B101" t="s">
        <v>42</v>
      </c>
      <c r="C101">
        <f>12*9+3</f>
        <v>111</v>
      </c>
      <c r="D101" s="1">
        <v>18500</v>
      </c>
      <c r="E101" s="1">
        <f t="shared" si="7"/>
        <v>2053500</v>
      </c>
    </row>
    <row r="102" spans="1:5" x14ac:dyDescent="0.25">
      <c r="A102" s="6">
        <v>44303</v>
      </c>
      <c r="B102" t="s">
        <v>44</v>
      </c>
      <c r="C102">
        <f>23*9+3</f>
        <v>210</v>
      </c>
      <c r="D102" s="1">
        <v>28000</v>
      </c>
      <c r="E102" s="1">
        <f t="shared" si="7"/>
        <v>5880000</v>
      </c>
    </row>
    <row r="103" spans="1:5" x14ac:dyDescent="0.25">
      <c r="E103"/>
    </row>
    <row r="104" spans="1:5" x14ac:dyDescent="0.25">
      <c r="A104" s="6">
        <v>44305</v>
      </c>
      <c r="B104" t="s">
        <v>41</v>
      </c>
      <c r="C104">
        <v>142</v>
      </c>
      <c r="D104" s="1">
        <v>30000</v>
      </c>
      <c r="E104" s="1">
        <f t="shared" ref="E104:E116" si="8">C104*D104</f>
        <v>4260000</v>
      </c>
    </row>
    <row r="105" spans="1:5" x14ac:dyDescent="0.25">
      <c r="A105" s="6">
        <v>44306</v>
      </c>
      <c r="B105" t="s">
        <v>41</v>
      </c>
      <c r="C105">
        <v>60</v>
      </c>
      <c r="D105" s="1">
        <v>30000</v>
      </c>
      <c r="E105" s="1">
        <f t="shared" si="8"/>
        <v>1800000</v>
      </c>
    </row>
    <row r="106" spans="1:5" x14ac:dyDescent="0.25">
      <c r="A106" s="6">
        <v>44306</v>
      </c>
      <c r="B106" t="s">
        <v>46</v>
      </c>
      <c r="C106">
        <v>92</v>
      </c>
      <c r="D106" s="1">
        <v>28000</v>
      </c>
      <c r="E106" s="1">
        <f t="shared" si="8"/>
        <v>2576000</v>
      </c>
    </row>
    <row r="107" spans="1:5" x14ac:dyDescent="0.25">
      <c r="A107" s="6">
        <v>44307</v>
      </c>
      <c r="B107" t="s">
        <v>46</v>
      </c>
      <c r="C107">
        <v>39</v>
      </c>
      <c r="D107" s="1">
        <v>28000</v>
      </c>
      <c r="E107" s="1">
        <f t="shared" si="8"/>
        <v>1092000</v>
      </c>
    </row>
    <row r="108" spans="1:5" x14ac:dyDescent="0.25">
      <c r="A108" s="6">
        <v>44307</v>
      </c>
      <c r="B108" t="s">
        <v>47</v>
      </c>
      <c r="C108">
        <v>66</v>
      </c>
      <c r="D108" s="1">
        <v>27000</v>
      </c>
      <c r="E108" s="1">
        <f t="shared" si="8"/>
        <v>1782000</v>
      </c>
    </row>
    <row r="109" spans="1:5" x14ac:dyDescent="0.25">
      <c r="A109" s="6">
        <v>44307</v>
      </c>
      <c r="B109" t="s">
        <v>42</v>
      </c>
      <c r="C109">
        <v>3</v>
      </c>
      <c r="D109" s="1">
        <v>18500</v>
      </c>
      <c r="E109" s="1">
        <f t="shared" si="8"/>
        <v>55500</v>
      </c>
    </row>
    <row r="110" spans="1:5" x14ac:dyDescent="0.25">
      <c r="A110" s="6">
        <v>44308</v>
      </c>
      <c r="B110" t="s">
        <v>47</v>
      </c>
      <c r="C110">
        <v>82</v>
      </c>
      <c r="D110" s="1">
        <v>27000</v>
      </c>
      <c r="E110" s="1">
        <f t="shared" si="8"/>
        <v>2214000</v>
      </c>
    </row>
    <row r="111" spans="1:5" x14ac:dyDescent="0.25">
      <c r="A111" s="6">
        <v>44309</v>
      </c>
      <c r="B111" t="s">
        <v>40</v>
      </c>
      <c r="C111">
        <v>200</v>
      </c>
      <c r="D111" s="1">
        <v>27000</v>
      </c>
      <c r="E111" s="1">
        <f t="shared" si="8"/>
        <v>5400000</v>
      </c>
    </row>
    <row r="112" spans="1:5" x14ac:dyDescent="0.25">
      <c r="A112" s="6">
        <v>44309</v>
      </c>
      <c r="B112" t="s">
        <v>41</v>
      </c>
      <c r="C112">
        <v>84</v>
      </c>
      <c r="D112" s="1">
        <v>30000</v>
      </c>
      <c r="E112" s="1">
        <f t="shared" si="8"/>
        <v>2520000</v>
      </c>
    </row>
    <row r="113" spans="1:5" x14ac:dyDescent="0.25">
      <c r="A113" s="6">
        <v>44310</v>
      </c>
      <c r="B113" t="s">
        <v>44</v>
      </c>
      <c r="C113">
        <v>6</v>
      </c>
      <c r="D113" s="1">
        <v>28000</v>
      </c>
      <c r="E113" s="1">
        <f t="shared" si="8"/>
        <v>168000</v>
      </c>
    </row>
    <row r="114" spans="1:5" x14ac:dyDescent="0.25">
      <c r="A114" s="6">
        <v>44310</v>
      </c>
      <c r="B114" t="s">
        <v>47</v>
      </c>
      <c r="C114">
        <v>6</v>
      </c>
      <c r="D114" s="1">
        <v>27000</v>
      </c>
      <c r="E114" s="1">
        <f t="shared" si="8"/>
        <v>162000</v>
      </c>
    </row>
    <row r="115" spans="1:5" x14ac:dyDescent="0.25">
      <c r="A115" s="6">
        <v>44310</v>
      </c>
      <c r="B115" t="s">
        <v>46</v>
      </c>
      <c r="C115">
        <v>96</v>
      </c>
      <c r="D115" s="1">
        <v>28000</v>
      </c>
      <c r="E115" s="1">
        <f t="shared" si="8"/>
        <v>2688000</v>
      </c>
    </row>
    <row r="116" spans="1:5" x14ac:dyDescent="0.25">
      <c r="A116" s="6">
        <v>44310</v>
      </c>
      <c r="B116" t="s">
        <v>40</v>
      </c>
      <c r="C116">
        <v>170</v>
      </c>
      <c r="D116" s="1">
        <v>27000</v>
      </c>
      <c r="E116" s="1">
        <f t="shared" si="8"/>
        <v>4590000</v>
      </c>
    </row>
    <row r="117" spans="1:5" x14ac:dyDescent="0.25">
      <c r="E117"/>
    </row>
    <row r="118" spans="1:5" x14ac:dyDescent="0.25">
      <c r="E118" s="1">
        <f t="shared" ref="E118:E123" si="9">C118*D118</f>
        <v>0</v>
      </c>
    </row>
    <row r="119" spans="1:5" x14ac:dyDescent="0.25">
      <c r="E119" s="1">
        <f t="shared" si="9"/>
        <v>0</v>
      </c>
    </row>
    <row r="120" spans="1:5" x14ac:dyDescent="0.25">
      <c r="E120" s="1">
        <f t="shared" si="9"/>
        <v>0</v>
      </c>
    </row>
    <row r="121" spans="1:5" x14ac:dyDescent="0.25">
      <c r="E121" s="1">
        <f t="shared" si="9"/>
        <v>0</v>
      </c>
    </row>
    <row r="122" spans="1:5" x14ac:dyDescent="0.25">
      <c r="E122" s="1">
        <f t="shared" si="9"/>
        <v>0</v>
      </c>
    </row>
    <row r="123" spans="1:5" x14ac:dyDescent="0.25">
      <c r="E123" s="1">
        <f t="shared" si="9"/>
        <v>0</v>
      </c>
    </row>
    <row r="124" spans="1:5" x14ac:dyDescent="0.25">
      <c r="E124"/>
    </row>
    <row r="125" spans="1:5" x14ac:dyDescent="0.25">
      <c r="E125"/>
    </row>
    <row r="126" spans="1:5" x14ac:dyDescent="0.25">
      <c r="E126"/>
    </row>
    <row r="127" spans="1:5" x14ac:dyDescent="0.25">
      <c r="E127"/>
    </row>
    <row r="128" spans="1:5" x14ac:dyDescent="0.25">
      <c r="E128"/>
    </row>
    <row r="129" spans="5:5" x14ac:dyDescent="0.25">
      <c r="E129"/>
    </row>
    <row r="130" spans="5:5" x14ac:dyDescent="0.25">
      <c r="E130"/>
    </row>
    <row r="131" spans="5:5" x14ac:dyDescent="0.25">
      <c r="E131"/>
    </row>
    <row r="132" spans="5:5" x14ac:dyDescent="0.25">
      <c r="E132"/>
    </row>
    <row r="133" spans="5:5" x14ac:dyDescent="0.25">
      <c r="E133"/>
    </row>
    <row r="134" spans="5:5" x14ac:dyDescent="0.25">
      <c r="E134"/>
    </row>
    <row r="135" spans="5:5" x14ac:dyDescent="0.25">
      <c r="E135"/>
    </row>
    <row r="136" spans="5:5" x14ac:dyDescent="0.25">
      <c r="E136"/>
    </row>
    <row r="137" spans="5:5" x14ac:dyDescent="0.25">
      <c r="E137"/>
    </row>
    <row r="138" spans="5:5" x14ac:dyDescent="0.25">
      <c r="E138"/>
    </row>
    <row r="139" spans="5:5" x14ac:dyDescent="0.25">
      <c r="E139"/>
    </row>
    <row r="140" spans="5:5" x14ac:dyDescent="0.25">
      <c r="E140"/>
    </row>
    <row r="141" spans="5:5" x14ac:dyDescent="0.25">
      <c r="E141"/>
    </row>
    <row r="142" spans="5:5" x14ac:dyDescent="0.25">
      <c r="E142"/>
    </row>
    <row r="143" spans="5:5" x14ac:dyDescent="0.25">
      <c r="E143"/>
    </row>
    <row r="144" spans="5:5" x14ac:dyDescent="0.25">
      <c r="E144"/>
    </row>
    <row r="145" spans="5:5" x14ac:dyDescent="0.25">
      <c r="E145"/>
    </row>
    <row r="146" spans="5:5" x14ac:dyDescent="0.25">
      <c r="E146"/>
    </row>
    <row r="147" spans="5:5" x14ac:dyDescent="0.25">
      <c r="E147"/>
    </row>
    <row r="148" spans="5:5" x14ac:dyDescent="0.25">
      <c r="E148"/>
    </row>
    <row r="149" spans="5:5" x14ac:dyDescent="0.25">
      <c r="E149"/>
    </row>
    <row r="150" spans="5:5" x14ac:dyDescent="0.25">
      <c r="E150"/>
    </row>
    <row r="151" spans="5:5" x14ac:dyDescent="0.25">
      <c r="E151"/>
    </row>
    <row r="152" spans="5:5" x14ac:dyDescent="0.25">
      <c r="E152"/>
    </row>
    <row r="153" spans="5:5" x14ac:dyDescent="0.25">
      <c r="E153"/>
    </row>
    <row r="154" spans="5:5" x14ac:dyDescent="0.25">
      <c r="E154"/>
    </row>
    <row r="155" spans="5:5" x14ac:dyDescent="0.25">
      <c r="E155"/>
    </row>
    <row r="156" spans="5:5" x14ac:dyDescent="0.25">
      <c r="E156"/>
    </row>
    <row r="157" spans="5:5" x14ac:dyDescent="0.25">
      <c r="E157"/>
    </row>
    <row r="158" spans="5:5" x14ac:dyDescent="0.25">
      <c r="E158"/>
    </row>
    <row r="159" spans="5:5" x14ac:dyDescent="0.25">
      <c r="E159"/>
    </row>
    <row r="160" spans="5:5" x14ac:dyDescent="0.25">
      <c r="E160"/>
    </row>
    <row r="161" spans="5:5" x14ac:dyDescent="0.25">
      <c r="E161"/>
    </row>
    <row r="162" spans="5:5" x14ac:dyDescent="0.25">
      <c r="E162"/>
    </row>
    <row r="163" spans="5:5" x14ac:dyDescent="0.25">
      <c r="E163"/>
    </row>
    <row r="164" spans="5:5" x14ac:dyDescent="0.25">
      <c r="E164"/>
    </row>
    <row r="165" spans="5:5" x14ac:dyDescent="0.25">
      <c r="E165"/>
    </row>
    <row r="166" spans="5:5" x14ac:dyDescent="0.25">
      <c r="E166"/>
    </row>
    <row r="167" spans="5:5" x14ac:dyDescent="0.25">
      <c r="E167"/>
    </row>
    <row r="168" spans="5:5" x14ac:dyDescent="0.25">
      <c r="E168"/>
    </row>
    <row r="169" spans="5:5" x14ac:dyDescent="0.25">
      <c r="E169"/>
    </row>
    <row r="170" spans="5:5" x14ac:dyDescent="0.25">
      <c r="E170"/>
    </row>
    <row r="171" spans="5:5" x14ac:dyDescent="0.25">
      <c r="E171"/>
    </row>
    <row r="172" spans="5:5" x14ac:dyDescent="0.25">
      <c r="E172"/>
    </row>
    <row r="173" spans="5:5" x14ac:dyDescent="0.25">
      <c r="E173"/>
    </row>
    <row r="174" spans="5:5" x14ac:dyDescent="0.25">
      <c r="E174"/>
    </row>
    <row r="175" spans="5:5" x14ac:dyDescent="0.25">
      <c r="E175"/>
    </row>
    <row r="176" spans="5:5" x14ac:dyDescent="0.25">
      <c r="E176"/>
    </row>
    <row r="177" spans="5:5" x14ac:dyDescent="0.25">
      <c r="E177"/>
    </row>
    <row r="178" spans="5:5" x14ac:dyDescent="0.25">
      <c r="E178"/>
    </row>
    <row r="179" spans="5:5" x14ac:dyDescent="0.25">
      <c r="E179"/>
    </row>
    <row r="180" spans="5:5" x14ac:dyDescent="0.25">
      <c r="E180"/>
    </row>
    <row r="181" spans="5:5" x14ac:dyDescent="0.25">
      <c r="E181"/>
    </row>
    <row r="182" spans="5:5" x14ac:dyDescent="0.25">
      <c r="E182"/>
    </row>
    <row r="183" spans="5:5" x14ac:dyDescent="0.25">
      <c r="E183"/>
    </row>
    <row r="184" spans="5:5" x14ac:dyDescent="0.25">
      <c r="E184"/>
    </row>
    <row r="185" spans="5:5" x14ac:dyDescent="0.25">
      <c r="E185"/>
    </row>
    <row r="186" spans="5:5" x14ac:dyDescent="0.25">
      <c r="E186"/>
    </row>
    <row r="187" spans="5:5" x14ac:dyDescent="0.25">
      <c r="E187"/>
    </row>
    <row r="188" spans="5:5" x14ac:dyDescent="0.25">
      <c r="E188"/>
    </row>
    <row r="189" spans="5:5" x14ac:dyDescent="0.25">
      <c r="E189"/>
    </row>
    <row r="190" spans="5:5" x14ac:dyDescent="0.25">
      <c r="E190"/>
    </row>
    <row r="191" spans="5:5" x14ac:dyDescent="0.25">
      <c r="E191"/>
    </row>
    <row r="192" spans="5:5" x14ac:dyDescent="0.25">
      <c r="E192"/>
    </row>
    <row r="193" spans="5:7" x14ac:dyDescent="0.25">
      <c r="E193"/>
    </row>
    <row r="194" spans="5:7" x14ac:dyDescent="0.25">
      <c r="E194"/>
    </row>
    <row r="195" spans="5:7" x14ac:dyDescent="0.25">
      <c r="E195"/>
    </row>
    <row r="196" spans="5:7" x14ac:dyDescent="0.25">
      <c r="E196"/>
    </row>
    <row r="197" spans="5:7" x14ac:dyDescent="0.25">
      <c r="E197"/>
    </row>
    <row r="198" spans="5:7" x14ac:dyDescent="0.25">
      <c r="E198"/>
    </row>
    <row r="199" spans="5:7" x14ac:dyDescent="0.25">
      <c r="E199"/>
    </row>
    <row r="200" spans="5:7" x14ac:dyDescent="0.25">
      <c r="E200" s="1">
        <f>SUM(E3:E199)</f>
        <v>267407000</v>
      </c>
      <c r="G200" s="17">
        <f>SUM(G3:G199)</f>
        <v>240478500</v>
      </c>
    </row>
  </sheetData>
  <mergeCells count="6">
    <mergeCell ref="A1:E1"/>
    <mergeCell ref="F1:G1"/>
    <mergeCell ref="A3:D3"/>
    <mergeCell ref="I1:J1"/>
    <mergeCell ref="I2:J2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Октябр 2024</vt:lpstr>
      <vt:lpstr>ост.охири</vt:lpstr>
      <vt:lpstr>Сентябр 2024</vt:lpstr>
      <vt:lpstr>Июл 2024</vt:lpstr>
      <vt:lpstr>Май 2024</vt:lpstr>
      <vt:lpstr>Январ 2024</vt:lpstr>
      <vt:lpstr>Баланс 2024</vt:lpstr>
      <vt:lpstr>2023 сентябр</vt:lpstr>
      <vt:lpstr>2023 август</vt:lpstr>
      <vt:lpstr>2023 июл</vt:lpstr>
      <vt:lpstr>Лист1</vt:lpstr>
      <vt:lpstr>2023.3</vt:lpstr>
      <vt:lpstr>2023.2</vt:lpstr>
      <vt:lpstr>2023.1</vt:lpstr>
      <vt:lpstr>2022 Хособот 5</vt:lpstr>
      <vt:lpstr>2022 Хисобот 4</vt:lpstr>
      <vt:lpstr>Хисобот. 07</vt:lpstr>
      <vt:lpstr>2021 Хисобот 3</vt:lpstr>
      <vt:lpstr>Баланс 2022</vt:lpstr>
      <vt:lpstr>2021 Хисобот 2</vt:lpstr>
      <vt:lpstr>2021 хисобот 1</vt:lpstr>
      <vt:lpstr>ост. охирги архив</vt:lpstr>
      <vt:lpstr>кунлик ост.</vt:lpstr>
      <vt:lpstr>ост.янги архив</vt:lpstr>
      <vt:lpstr>Возврат лайкра</vt:lpstr>
      <vt:lpstr>Реализация 2</vt:lpstr>
      <vt:lpstr>Реализация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MUSAXODJAEV IBROXIM</cp:lastModifiedBy>
  <dcterms:created xsi:type="dcterms:W3CDTF">2021-02-21T05:32:25Z</dcterms:created>
  <dcterms:modified xsi:type="dcterms:W3CDTF">2026-02-15T01:41:03Z</dcterms:modified>
</cp:coreProperties>
</file>